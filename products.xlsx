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Sheet1" sheetId="1" r:id="rId1"/>
    <sheet name="Lookups" sheetId="2" r:id="rId2"/>
    <sheet name="Brands" sheetId="3" r:id="rId3"/>
    <sheet name="Dropdowns" sheetId="4" r:id="rId4"/>
    <sheet name="2nd level" sheetId="5" r:id="rId5"/>
    <sheet name="3rd level" sheetId="6" r:id="rId6"/>
  </sheets>
  <definedNames>
    <definedName name="_xlnm._FilterDatabase" localSheetId="1" hidden="1">'Lookups'!A1:C149</definedName>
    <definedName name="category">Dropdowns!$A$16:$A$20</definedName>
    <definedName name="Electrical">#REF!</definedName>
    <definedName name="Hardwares">#REF!</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S68"/>
  <sheetViews>
    <sheetView workbookViewId="0" rightToLeft="0"/>
  </sheetViews>
  <sheetData>
    <row r="1">
      <c r="A1" t="str">
        <v>part_no</v>
      </c>
      <c r="B1" t="str">
        <v>category</v>
      </c>
      <c r="C1" t="str">
        <v>subcategory</v>
      </c>
      <c r="D1" t="str">
        <v>subsubcategory</v>
      </c>
      <c r="E1" t="str">
        <v>type</v>
      </c>
      <c r="F1" t="str">
        <v>product_name</v>
      </c>
      <c r="G1" t="str">
        <v>description</v>
      </c>
      <c r="H1" t="str">
        <v>brand</v>
      </c>
      <c r="I1" t="str">
        <v>images</v>
      </c>
      <c r="J1" t="str">
        <v>mrp</v>
      </c>
      <c r="K1" t="str">
        <v>slug</v>
      </c>
      <c r="L1" t="str">
        <v>meta_title</v>
      </c>
      <c r="M1" t="str">
        <v>meta_description</v>
      </c>
      <c r="N1" t="str">
        <v>sku</v>
      </c>
      <c r="O1" t="str">
        <v>variant_name</v>
      </c>
      <c r="P1" t="str">
        <v>is_featured</v>
      </c>
      <c r="Q1" t="str">
        <v>slogan</v>
      </c>
      <c r="R1" t="str">
        <v>video_url</v>
      </c>
      <c r="S1" t="str">
        <v>variants</v>
      </c>
    </row>
    <row r="2">
      <c r="A2" t="str">
        <v>ZZ00926</v>
      </c>
      <c r="B2" t="str">
        <v>Electrical</v>
      </c>
      <c r="C2" t="str">
        <v>Lighting_Fixtures</v>
      </c>
      <c r="D2" t="str">
        <v>Gate_Lights</v>
      </c>
      <c r="E2" t="str">
        <v>PIPE MOUNT</v>
      </c>
      <c r="F2" t="str">
        <v xml:space="preserve">Viva Cute 12W LED Post Top Design </v>
      </c>
      <c r="G2" t="str">
        <v>The Viva Cute 12W LED Post Top Gate Light delivers a perfect blend of modern aesthetics and efficient illumination. Designed for outdoor use, this stylish gate light emits a cool white light that enhances visibility while adding a sleek decorative touch to your entrance, garden, or pathway. Built with durable materials, it ensures long-lasting performance and resistance to weather conditions. Its energy-efficient 12W LED technology provides bright lighting with low power consumption, making it an ideal choice for both residential and commercial spaces.</v>
      </c>
      <c r="H2" t="str">
        <v>Inventaa</v>
      </c>
      <c r="I2" t="str">
        <v>https://inventaa.in/cdn/shop/files/Viva_PC_LED_Gate_Light_Cool_White.jpg?, https://inventaa.in/cdn/shop/files/Unbreakable_Viva_PC_LED_Gate_Light.jpg?v=1765448300&amp;width=500v=1765448300&amp;width=500, https://inventaa.in/cdn/shop/files/Bulb_Options_Of_Viva_PC.jpg?v=1765448300&amp;width=500</v>
      </c>
      <c r="J2" t="str">
        <v>712</v>
      </c>
      <c r="K2" t="str">
        <v>viva-cute-12w-led-post-top-design</v>
      </c>
      <c r="L2" t="str">
        <v>Viva Cute 12W LED Post Top Gate Light – Cool White Outdoor Light</v>
      </c>
      <c r="M2" t="str">
        <v>Buy Viva Cute 12W LED Post Top Gate Light with cool white illumination. Stylish, energy-efficient, and perfect for gates, gardens, and outdoor spaces.</v>
      </c>
      <c r="N2" t="str">
        <v>10C-231</v>
      </c>
      <c r="O2" t="str">
        <v/>
      </c>
    </row>
    <row r="3">
      <c r="A3" t="str">
        <v>ZZ07207</v>
      </c>
      <c r="B3" t="str">
        <v>Electrical</v>
      </c>
      <c r="C3" t="str">
        <v>Lighting_Fixtures</v>
      </c>
      <c r="D3" t="str">
        <v>Gate_Lights</v>
      </c>
      <c r="E3" t="str">
        <v>PIPE MOUNT</v>
      </c>
      <c r="F3" t="str">
        <v xml:space="preserve"> MINI GLASIS LED WALL LIGHT INV</v>
      </c>
      <c r="G3" t="str">
        <v>Upgrade your outdoor lighting with the Mini Glasis LED Wall Light 12W, designed for modern gate and wall applications. This compact yet powerful fixture emits a bright cool white light, ensuring enhanced visibility and security around entrances, gates, and exterior walls. Built with durable materials, it is weather-resistant and ideal for long-term outdoor use. Its sleek design blends seamlessly with contemporary architecture while providing energy-efficient illumination.</v>
      </c>
      <c r="H3" t="str">
        <v>Inventaa</v>
      </c>
      <c r="I3" t="str">
        <v>https://res.cloudinary.com/dthi2vgiz/image/upload/v1776165469/FrontImageMiniGlasisCool_um0tpb.webp, https://res.cloudinary.com/dthi2vgiz/image/upload/v1776165469/Front_Image_Box_zm6r81.webp, https://res.cloudinary.com/dthi2vgiz/image/upload/v1776165468/MiniGlassis-01_dv2hxd.webp</v>
      </c>
      <c r="J3" t="str">
        <v>2079</v>
      </c>
      <c r="K3" t="str">
        <v>mini-glasis-led-wall-light-inv</v>
      </c>
      <c r="L3" t="str">
        <v>Mini Glasis LED Wall Light 12W Gate Light Cool White | Outdoor LED Light</v>
      </c>
      <c r="M3" t="str">
        <v>Buy Mini Glasis LED Wall Light 12W for gates and outdoor walls. Energy-efficient cool white lighting with durable, weather-resistant design for modern homes.</v>
      </c>
      <c r="N3" t="str">
        <v>12C-WS101</v>
      </c>
      <c r="O3" t="str">
        <v/>
      </c>
      <c r="P3" t="str">
        <v>true</v>
      </c>
      <c r="Q3" t="str">
        <v/>
      </c>
      <c r="R3" t="str">
        <v/>
      </c>
    </row>
    <row r="4">
      <c r="A4" t="str">
        <v>ZZ00932</v>
      </c>
      <c r="B4" t="str">
        <v>Electrical</v>
      </c>
      <c r="C4" t="str">
        <v>Lighting_Fixtures</v>
      </c>
      <c r="D4" t="str">
        <v>Gate_Lights</v>
      </c>
      <c r="E4" t="str">
        <v>PIPE MOUNT</v>
      </c>
      <c r="F4" t="str">
        <v>Viva Gate Pillar Lights 12W LED</v>
      </c>
      <c r="G4" t="str">
        <v>Upgrade your entrance with the Viva Gate Pillar Lights 12W LED, designed to combine modern aesthetics with efficient outdoor lighting. This sleek exterior door light delivers bright, uniform illumination, making it perfect for gate pillars, compound walls, and entryways.</v>
      </c>
      <c r="H4" t="str">
        <v>Inventaa</v>
      </c>
      <c r="I4" t="str">
        <v>https://res.cloudinary.com/dthi2vgiz/image/upload/v1776166298/VivaLHGoldCool_aznghz.webp,</v>
      </c>
      <c r="J4">
        <v>1484</v>
      </c>
      <c r="K4" t="str">
        <v>viva-gate-pillar-lights-12w-led-modern-exterior-door-light</v>
      </c>
      <c r="L4" t="str">
        <v>Viva 12W LED Gate Pillar Light | Modern Outdoor Door Light</v>
      </c>
      <c r="M4" t="str">
        <v>Buy Viva 12W LED gate pillar light for modern outdoor spaces. Energy-efficient, weather-resistant exterior door light perfect for gates, walls &amp; entrances.</v>
      </c>
      <c r="N4" t="str">
        <v>12C 245</v>
      </c>
    </row>
    <row r="5">
      <c r="A5" t="str">
        <v>ZZ03239</v>
      </c>
      <c r="B5" t="str">
        <v>Sanitary_Ware</v>
      </c>
      <c r="C5" t="str">
        <v>Closets</v>
      </c>
      <c r="D5" t="str">
        <v>Single_Piece_Closets</v>
      </c>
      <c r="E5" t="str">
        <v>ORISSA PAN</v>
      </c>
      <c r="F5" t="str">
        <v>C01111C WHITE  ORISSA PAN W/O P-TRAP</v>
      </c>
      <c r="G5" t="str">
        <v>Premium C01111C WHITE  ORISSA PAN W/O P TRAP from Parryware. Enhance your setup with this high-quality hardware component.</v>
      </c>
      <c r="H5" t="str">
        <v>Parryware</v>
      </c>
      <c r="I5" t="str">
        <v>https://res.cloudinary.com/dthi2vgiz/image/upload/v1776885794/C01311C_t_Product_Pictures_TF_Mob_prod_xxl_v2-Photoroom_zzzwko.png</v>
      </c>
      <c r="J5" t="str">
        <v>2350</v>
      </c>
      <c r="K5" t="str">
        <v>c01111c-white-orissa-pan-wo-p-trap</v>
      </c>
      <c r="L5" t="str">
        <v>C01111C WHITE  ORISSA PAN W/O P TRAP - Parryware | Premium Hardware</v>
      </c>
      <c r="M5" t="str">
        <v>Discover the C01111C WHITE  ORISSA PAN W/O P TRAP by Parryware. High performance and reliability for your needs.</v>
      </c>
      <c r="N5" t="str">
        <v>ZZ03239</v>
      </c>
      <c r="O5" t="str">
        <v>500x405x255mm</v>
      </c>
    </row>
    <row r="6">
      <c r="A6" t="str">
        <v>ZZ02680</v>
      </c>
      <c r="B6" t="str">
        <v>Electrical</v>
      </c>
      <c r="C6" t="str">
        <v>Wiring_Devices</v>
      </c>
      <c r="D6" t="str">
        <v>Switches</v>
      </c>
      <c r="E6" t="str">
        <v>1 WAY SWITCH</v>
      </c>
      <c r="F6" t="str">
        <v>7400 S7 WHITE SLIMZ 10A 1 WAY SWITCH</v>
      </c>
      <c r="G6" t="str">
        <v>Imagine your space, meticulously designed, every line intentional, every detail curated. Now, picture the final touch: the Lisha 7400 S7 WHITE SLIMZ 10A 1 WAY SWITCH. This isn't merely a switch; it's a whisper of modern elegance against your wall. Its 'SLIMZ' profile is an engineering marvel, sitting so close to the surface it almost disappears, a seamless extension of your chosen aesthetic. The pristine white finish isn't just a color; it's a commitment to purity, reflecting light and amplifying the spaciousness of your contemporary living room, your serene master bedroom, or that minimalist study where focus reigns. Each effortless press is a testament to Lisha's dedication to quality, a tactile promise of reliability. It's not just a switch; it's a statement of your refined taste. For those who believe true luxury lies in understated perfection, in moments where function and form become one, your space deserves the subtle brilliance of the 7400 S7. Discover the difference.</v>
      </c>
      <c r="H6" t="str">
        <v>Lisha</v>
      </c>
      <c r="I6" t="str">
        <v>https://res.cloudinary.com/dthi2vgiz/image/upload/v1777351010/shopping-Photoroom_xjcbx1.png</v>
      </c>
      <c r="J6" t="str">
        <v>115</v>
      </c>
      <c r="K6" t="str">
        <v>7400-s7-white-slimz-10a-1-way-switch</v>
      </c>
      <c r="L6" t="str">
        <v>Lisha 7400 S7 White Slimz Switch | Premium Design</v>
      </c>
      <c r="M6" t="str">
        <v>Elevate your modern home with the Lisha 7400 S7 White Slimz 1 Way Switch. Its sleek, minimalist profile and pristine white finish offer understated elegance and seamless functionality. Perfect for refined spaces.</v>
      </c>
      <c r="O6" t="str">
        <v>10amps,WHITE</v>
      </c>
    </row>
    <row r="7">
      <c r="A7" t="str">
        <v>ZZ02685</v>
      </c>
      <c r="B7" t="str">
        <v>Electrical</v>
      </c>
      <c r="C7" t="str">
        <v>Wiring_Devices</v>
      </c>
      <c r="D7" t="str">
        <v>Switches</v>
      </c>
      <c r="E7" t="str">
        <v>2 WAY SWITCH</v>
      </c>
      <c r="F7" t="str">
        <v>7406 S7 SLIMZ 10A 2 WAY SWITCH</v>
      </c>
      <c r="G7" t="str">
        <v>Premium 7406 S7 SLIMZ 10A 2 WAY SWITCH by Lisha, a top‑quality Switches offering sleek design and reliable performance.</v>
      </c>
      <c r="H7" t="str">
        <v>Lisha</v>
      </c>
      <c r="I7" t="str">
        <v>https://res.cloudinary.com/dthi2vgiz/image/upload/v1777351084/shopping_1_-Photoroom_zrcg9l.png</v>
      </c>
      <c r="J7" t="str">
        <v>214</v>
      </c>
      <c r="K7" t="str">
        <v>7406-s7-slimz-10a-2-way-switch</v>
      </c>
      <c r="L7" t="str">
        <v>Lisha 7406 S7 SLIMZ 10A 2 WAY SWITCH – Premium Switches</v>
      </c>
      <c r="M7" t="str">
        <v>7406 S7 SLIMZ 10A 2 WAY SWITCH by Lisha: SEO‑friendly, high‑performance Switches for modern installations.</v>
      </c>
      <c r="O7" t="str">
        <v>10A, WHITE</v>
      </c>
    </row>
    <row r="8">
      <c r="A8" t="str">
        <v>ZZ02682</v>
      </c>
      <c r="B8" t="str">
        <v>Electrical</v>
      </c>
      <c r="C8" t="str">
        <v>Wiring_Devices</v>
      </c>
      <c r="D8" t="str">
        <v>Switches</v>
      </c>
      <c r="E8" t="str">
        <v>WITH INDICATOR, WHITE</v>
      </c>
      <c r="F8" t="str">
        <v>7403 S7 SLIMZ 1 MOD 10amps BELL PUSH SWITCH with INDICATOR</v>
      </c>
      <c r="G8" t="str">
        <v>Premium 7403 S7 SLIMZ 1 MOD 10amps BELL PUSH SWITCH with INDICATOR by Lisha, a top‑quality Switches offering sleek design and reliable performance.</v>
      </c>
      <c r="H8" t="str">
        <v>Lisha</v>
      </c>
      <c r="I8" t="str">
        <v>https://res.cloudinary.com/dthi2vgiz/image/upload/v1777351269/shopping_2_-Photoroom_zbxamz.png</v>
      </c>
      <c r="J8" t="str">
        <v>259</v>
      </c>
      <c r="K8" t="str">
        <v>7403-s7-slimz-1-mod-10amps-bell-push-switch-with-indicator</v>
      </c>
      <c r="L8" t="str">
        <v>Lisha 7403 S7 SLIMZ 1 MOD 10amps BELL PUSH SWITCH with INDICATOR – Premium Switches</v>
      </c>
      <c r="M8" t="str">
        <v>7403 S7 SLIMZ 1 MOD 10amps BELL PUSH SWITCH with INDICATOR by Lisha: SEO‑friendly, high‑performance Switches for modern installations.</v>
      </c>
      <c r="O8" t="str">
        <v>BELL PUSH SWITCH</v>
      </c>
      <c r="P8" t="str">
        <v>true</v>
      </c>
      <c r="Q8" t="str">
        <v/>
      </c>
      <c r="R8" t="str">
        <v/>
      </c>
    </row>
    <row r="9">
      <c r="A9" t="str">
        <v>ZZ02645</v>
      </c>
      <c r="B9" t="str">
        <v>Electrical</v>
      </c>
      <c r="C9" t="str">
        <v>Wiring_Devices</v>
      </c>
      <c r="D9" t="str">
        <v>Dimmers</v>
      </c>
      <c r="E9" t="str">
        <v>DIMMER</v>
      </c>
      <c r="F9" t="str">
        <v xml:space="preserve">7020 S7 WHITE 2M 5 STEP FAN DIMMER </v>
      </c>
      <c r="G9" t="str">
        <v>Enhance your comfort with the Lisha 7020 S7 WHITE 2M 5 STEP FAN DIMMER. This elegant white dimmer offers precise 5-step control, perfect for adjusting fan speed in your living room, bedroom, or office. Experience customized airflow and superior comfort. Upgrade your space today.</v>
      </c>
      <c r="H9" t="str">
        <v>Lisha</v>
      </c>
      <c r="I9" t="str">
        <v>https://res.cloudinary.com/dthi2vgiz/image/upload/v1777354254/7020WH-Photoroom_cs1ofo.png</v>
      </c>
      <c r="J9" t="str">
        <v>655</v>
      </c>
      <c r="K9" t="str">
        <v>7020-s7-white-2m-5-step-fan-dimmer</v>
      </c>
      <c r="L9" t="str">
        <v>Lisha 7020 S7 White 2M 5 Step Fan Dimmer</v>
      </c>
      <c r="M9" t="str">
        <v>Control your fan speed precisely with the Lisha 7020 S7 White 5-Step Fan Dimmer. Enjoy optimal comfort in any room with this elegant white dimmer. Easy installation &amp; superior airflow control.</v>
      </c>
      <c r="O9" t="str">
        <v xml:space="preserve"> 5 STEP,WHITE</v>
      </c>
    </row>
    <row r="10">
      <c r="A10" t="str">
        <v>ZZ02689</v>
      </c>
      <c r="B10" t="str">
        <v>Electrical</v>
      </c>
      <c r="C10" t="str">
        <v>Wiring_Devices</v>
      </c>
      <c r="D10" t="str">
        <v>Switches</v>
      </c>
      <c r="E10" t="str">
        <v xml:space="preserve"> 1 WAY SWITCH</v>
      </c>
      <c r="F10" t="str">
        <v>7408 S7 SLIMZ 20amps 1 WAY SWITCH with INDICATOR</v>
      </c>
      <c r="G10" t="str">
        <v>Elevate your lighting control with the Lisha 7408 S7 SLIMZ. This premium 20amp 1 WAY SWITCH with INDICATOR is expertly designed for dimmable systems, offering precise ambiance adjustment. Its sleek, SLIMZ profile and clear indicator seamlessly blend into any modern space. Discover effortless mood creation with Lisha.</v>
      </c>
      <c r="H10" t="str">
        <v>Lisha</v>
      </c>
      <c r="I10" t="str">
        <v>https://res.cloudinary.com/dthi2vgiz/image/upload/v1777351353/shopping_3_-Photoroom_i96ar9.png</v>
      </c>
      <c r="J10" t="str">
        <v>331</v>
      </c>
      <c r="K10" t="str">
        <v>7408-s7-slimz-20amps-1-way-switch-with-indicator</v>
      </c>
      <c r="L10" t="str">
        <v>Lisha 7408 S7 SLIMZ Dimmer Switch – Premium Light Control</v>
      </c>
      <c r="M10" t="str">
        <v>Upgrade to Lisha 7408 S7 SLIMZ premium dimmer switch. Enjoy precise 20amp light control with a sleek, slim design &amp; indicator. Create perfect ambiance in any modern home or office.</v>
      </c>
      <c r="O10" t="str">
        <v>INDICATOR, WHITE</v>
      </c>
    </row>
    <row r="11">
      <c r="A11" t="str">
        <v>ZZ02618</v>
      </c>
      <c r="B11" t="str">
        <v>Electrical</v>
      </c>
      <c r="C11" t="str">
        <v>Wiring_Devices</v>
      </c>
      <c r="D11" t="str">
        <v>Switches</v>
      </c>
      <c r="E11" t="str">
        <v>1 WAY SWITCH</v>
      </c>
      <c r="F11" t="str">
        <v>7000 S7 SPECIAL 10amps 1 WAY SWITCH WHITE</v>
      </c>
      <c r="G11" t="str">
        <v>The Lisha 7000 S7 SPECIAL 10amps 1 WAY SWITCH WHITE offers superior control for your electrical needs. Boasting a robust 10A capacity and a pristine white finish, this reliable 1-way switch is engineered for seamless operation. Perfect for modern residential or commercial spaces, it ensures dependable lighting management while enhancing your decor. Elevate your interiors with Lisha's precision engineering. Explore premium switching solutions.</v>
      </c>
      <c r="H11" t="str">
        <v>Lisha</v>
      </c>
      <c r="I11" t="str">
        <v>https://res.cloudinary.com/dthi2vgiz/image/upload/v1777351715/shopping_5_-Photoroom_c7lgeq.png,https://res.cloudinary.com/dthi2vgiz/image/upload/v1777351743/shopping_4_-Photoroom_l8chjj.png</v>
      </c>
      <c r="J11" t="str">
        <v>97</v>
      </c>
      <c r="K11" t="str">
        <v>7000-s7-special-10amps-1-way-switch-white</v>
      </c>
      <c r="L11" t="str">
        <v>Lisha 7000 S7 Special 1 Way Switch White | Lisha Switches</v>
      </c>
      <c r="M11" t="str">
        <v>Upgrade to the Lisha 7000 S7 Special 10A 1 Way Switch. Featuring a pristine white finish, it offers reliable control for modern homes &amp; offices. Shop durable Lisha switches for quality and style.</v>
      </c>
      <c r="O11" t="str">
        <v>10A</v>
      </c>
    </row>
    <row r="12">
      <c r="A12" t="str">
        <v>ZZ02625</v>
      </c>
      <c r="B12" t="str">
        <v>Electrical</v>
      </c>
      <c r="C12" t="str">
        <v>Wiring_Devices</v>
      </c>
      <c r="D12" t="str">
        <v>Switches</v>
      </c>
      <c r="E12" t="str">
        <v>1 WAY SWITCH</v>
      </c>
      <c r="F12" t="str">
        <v>7006 S7 SPECIAL 10amps 2 WAY SWITCH WHITE</v>
      </c>
      <c r="G12" t="str">
        <v>Experience superior control with the Lisha 7006 S7 SPECIAL 10amps 2 WAY SWITCH WHITE. Engineered for reliability, this premium switch features robust 10A capacity and versatile 2-way functionality, ideal for modern homes and offices needing flexible lighting solutions. Its pristine white finish offers a clean, sophisticated aesthetic. Ready to redefine your space? Discover effortless switching.</v>
      </c>
      <c r="H12" t="str">
        <v>Lisha</v>
      </c>
      <c r="I12" t="str">
        <v>https://res.cloudinary.com/dthi2vgiz/image/upload/v1777373174/shopping_7_e332jn-Photoroom_nx6jlo.png,https://res.cloudinary.com/dthi2vgiz/image/upload/v1777373282/shopping_6_el3bg3-Photoroom_pcammc.png</v>
      </c>
      <c r="J12" t="str">
        <v>214</v>
      </c>
      <c r="K12" t="str">
        <v>7006-s7-special-10amps-2-way-switch-white</v>
      </c>
      <c r="L12" t="str">
        <v>Lisha 7006 S7 SPECIAL 10A 2-WAY White Switch</v>
      </c>
      <c r="M12" t="str">
        <v>Upgrade with Lisha 7006 S7 SPECIAL 10A 2-WAY White Switch. Enjoy premium control &amp; design for modern homes/offices. Durable, versatile, and sleek. Shop Lisha switches now!</v>
      </c>
      <c r="O12" t="str">
        <v>10amps</v>
      </c>
    </row>
    <row r="13">
      <c r="A13" t="str">
        <v>ZZ01702</v>
      </c>
      <c r="B13" t="str">
        <v>Electrical</v>
      </c>
      <c r="C13" t="str">
        <v>Wiring_Devices</v>
      </c>
      <c r="D13" t="str">
        <v>Switches</v>
      </c>
      <c r="E13" t="str">
        <v>BELL PUSH SWITCH</v>
      </c>
      <c r="F13" t="str">
        <v>7005 S7 2M BELL PUSH SWITCH with INDICATOR</v>
      </c>
      <c r="G13" t="str">
        <v>Enhance your entrance with the Lisha 7005 S7 2M BELL PUSH SWITCH with INDICATOR GRAPHITE GREY. This premium switch delivers reliable bell push functionality with a clear integrated indicator. Its sleek, contemporary graphite grey finish seamlessly complements modern homes, offices, or commercial spaces. A blend of style and convenience. Elevate your interiors today.</v>
      </c>
      <c r="H13" t="str">
        <v>Lisha</v>
      </c>
      <c r="I13" t="str">
        <v>https://res.cloudinary.com/dthi2vgiz/image/upload/v1777352332/lisha-7005-bell-push-240v-modular-switch-282module-29-indicator-1000x1000-Photoroom_x6argw.png</v>
      </c>
      <c r="J13" t="str">
        <v>349</v>
      </c>
      <c r="K13" t="str">
        <v>7005-s7-2m-bell-push-switch-with-indicator</v>
      </c>
      <c r="L13" t="str">
        <v>Lisha 7005 S7 2M Bell Push Switch with Indicator</v>
      </c>
      <c r="M13" t="str">
        <v>Upgrade to Lisha's premium 7005 S7 Bell Push Switch. Featuring an integrated indicator &amp; sleek graphite grey finish, it's perfect for modern homes &amp; offices. Enhance your entrance.</v>
      </c>
      <c r="O13" t="str">
        <v>GRAPHITE GREY</v>
      </c>
      <c r="P13" t="str">
        <v>false</v>
      </c>
      <c r="Q13" t="str">
        <v/>
      </c>
      <c r="R13" t="str">
        <v/>
      </c>
      <c r="S13" t="str">
        <v/>
      </c>
    </row>
    <row r="14">
      <c r="A14" t="str">
        <v>ZZ02632</v>
      </c>
      <c r="B14" t="str">
        <v>Electrical</v>
      </c>
      <c r="C14" t="str">
        <v>Wiring_Devices</v>
      </c>
      <c r="D14" t="str">
        <v>Switches</v>
      </c>
      <c r="E14" t="str">
        <v>GRAPHITE GREY</v>
      </c>
      <c r="F14" t="str">
        <v>7010 S7 32amps 2M DP SWITCH with INDICATOR GRAPHITE GREY</v>
      </c>
      <c r="G14" t="str">
        <v>Premium 7010 S7 32amps 2M DP SWITCH with INDICATOR GRAPHITE GREY by Lisha, a top‑quality Switches offering sleek design and reliable performance.</v>
      </c>
      <c r="H14" t="str">
        <v>Lisha</v>
      </c>
      <c r="I14" t="str">
        <v>https://res.cloudinary.com/dthi2vgiz/image/upload/v1777352885/3710e4fdfcfd202500ea75ca5800066c7010-Photoroom_ppii1n.png</v>
      </c>
      <c r="J14" t="str">
        <v>585</v>
      </c>
      <c r="K14" t="str">
        <v>7010-s7-32amps-2m-dp-switch-with-indicator-graphite-grey</v>
      </c>
      <c r="L14" t="str">
        <v>Lisha 7010 S7 32amps 2M DP SWITCH with INDICATOR GRAPHITE GREY – Premium Switches</v>
      </c>
      <c r="M14" t="str">
        <v>7010 S7 32amps 2M DP SWITCH with INDICATOR GRAPHITE GREY by Lisha: SEO‑friendly, high‑performance Switches for modern installations.</v>
      </c>
      <c r="O14" t="str">
        <v xml:space="preserve"> 32amps DP SWITCH</v>
      </c>
    </row>
    <row r="15">
      <c r="A15" t="str">
        <v>ZZ02634</v>
      </c>
      <c r="B15" t="str">
        <v>Electrical</v>
      </c>
      <c r="C15" t="str">
        <v>Wiring_Devices</v>
      </c>
      <c r="D15" t="str">
        <v>Outlets</v>
      </c>
      <c r="E15" t="str">
        <v>2 in 1 SOCKET</v>
      </c>
      <c r="F15" t="str">
        <v>7011 /7011A S7 6 Amps 2 in 1 SOCKET 2M with SAFETY SH</v>
      </c>
      <c r="G15" t="str">
        <v>Discover the Lisha 7011 / 7011A S7, a premium 6 Amps 2 in 1 SOCKET. This versatile outlet, featuring a sleek, durable design and a 2-meter cable, provides secure power for any space. Its integrated SAFETY SH shutter ensures protection, making it ideal for homes and offices. Upgrade your essential outlets with Lisha's reliability. Find your perfect power solution.</v>
      </c>
      <c r="H15" t="str">
        <v>Lisha</v>
      </c>
      <c r="I15" t="str">
        <v>https://res.cloudinary.com/dthi2vgiz/image/upload/v1777354516/ca82d94733afdb781726a4109b922f5c7011-Photoroom_oag4fj.png</v>
      </c>
      <c r="J15" t="str">
        <v>223</v>
      </c>
      <c r="K15" t="str">
        <v>7011-7011a-s7-6-amps-2-in-1-socket-2m-with-safety-sh</v>
      </c>
      <c r="L15" t="str">
        <v>Lisha 7011 S7 6A 2-in-1 Socket | Safety Power Outlet</v>
      </c>
      <c r="M15" t="str">
        <v>Secure your home or office with the Lisha 7011 S7 6 Amps 2-in-1 Socket. This premium outlet, with a 2M cable and safety shutter, offers reliable power and protection. Upgrade your electrical outlets today!</v>
      </c>
      <c r="O15" t="str">
        <v>GRAPHITE GREY</v>
      </c>
    </row>
    <row r="16">
      <c r="A16" t="str">
        <v>ZZ02641</v>
      </c>
      <c r="B16" t="str">
        <v>Electrical</v>
      </c>
      <c r="C16" t="str">
        <v>Wiring_Devices</v>
      </c>
      <c r="D16" t="str">
        <v>Outlets</v>
      </c>
      <c r="E16" t="str">
        <v>16A</v>
      </c>
      <c r="F16" t="str">
        <v>7015 S7 WHITE 16A 2 IN 1 SOCKET</v>
      </c>
      <c r="G16" t="str">
        <v>Elevate your space with the Lisha 7015 S7 WHITE 16A 2 IN 1 SOCKET. This premium outlet offers dual functionality in a sleek S7 WHITE finish, perfect for modern homes, offices, or commercial settings. Its robust 16A rating ensures reliable power for all your devices. Experience seamless integration and superior performance. Discover the Lisha difference today.</v>
      </c>
      <c r="H16" t="str">
        <v>Lisha</v>
      </c>
      <c r="I16" t="str">
        <v>https://res.cloudinary.com/dthi2vgiz/image/upload/v1777354369/7015WH-Photoroom_l8wmhg.png</v>
      </c>
      <c r="J16" t="str">
        <v>384.99</v>
      </c>
      <c r="K16" t="str">
        <v>7015-s7-white-16a-2-in-1-socket</v>
      </c>
      <c r="L16" t="str">
        <v>Lisha 7015 S7 White 16A 2 IN 1 Socket - Outlets</v>
      </c>
      <c r="M16" t="str">
        <v>Upgrade to the Lisha 7015 S7 White 16A 2 IN 1 Socket. This sleek outlet provides reliable dual power in a modern white finish. Ideal for homes &amp; offices. Shop premium Lisha electrical outlets.</v>
      </c>
      <c r="O16" t="str">
        <v>2 IN 1 SOCKET</v>
      </c>
      <c r="P16" t="str">
        <v>false</v>
      </c>
      <c r="Q16" t="str">
        <v/>
      </c>
    </row>
    <row r="17">
      <c r="A17" t="str">
        <v>ZZ02716</v>
      </c>
      <c r="B17" t="str">
        <v>Electrical</v>
      </c>
      <c r="C17" t="str">
        <v>Wiring_Devices</v>
      </c>
      <c r="D17" t="str">
        <v>Dimmers</v>
      </c>
      <c r="E17" t="str">
        <v xml:space="preserve"> 2M</v>
      </c>
      <c r="F17" t="str">
        <v>7601 S7 2M STEP MARKER LIGHT WITH LED WHITE</v>
      </c>
      <c r="G17" t="str">
        <v>Command your ambiance with the Lisha 7601 S7 2M STEP MARKER LIGHT WITH LED WHITE. This elegant, white LED step marker light brings sophisticated dimming capabilities to your pathways and stairs. The S7 2M design ensures precise, tailored illumination, enhancing safety and modern aesthetics. Experience effortless light control. Elevate your space today.</v>
      </c>
      <c r="H17" t="str">
        <v>Lisha</v>
      </c>
      <c r="I17" t="str">
        <v>https://res.cloudinary.com/dthi2vgiz/image/upload/v1777353566/26-1736174006522-Photoroom_zaovp9.png</v>
      </c>
      <c r="J17" t="str">
        <v>745</v>
      </c>
      <c r="K17" t="str">
        <v>7601-s7-2m-step-marker-light-with-led-white</v>
      </c>
      <c r="L17" t="str">
        <v>Lisha 7601 S7 2M White LED Dimmable Step Light</v>
      </c>
      <c r="M17" t="str">
        <v>Elevate your home with the Lisha 7601 S7 2M White LED Dimmable Step Light. Achieve perfect ambiance &amp; safety for stairs/pathways with precise lighting control. Shop now for premium dimmable LED.</v>
      </c>
      <c r="O17" t="str">
        <v>STEP MARKER LIGHT</v>
      </c>
      <c r="P17" t="str">
        <v>false</v>
      </c>
      <c r="Q17" t="str">
        <v/>
      </c>
    </row>
    <row r="18">
      <c r="A18" t="str">
        <v>ZZ07492</v>
      </c>
      <c r="B18" t="str">
        <v>Electrical</v>
      </c>
      <c r="C18" t="str">
        <v>Fans</v>
      </c>
      <c r="D18" t="str">
        <v>Pedestal_Fans</v>
      </c>
      <c r="E18" t="str">
        <v>AIR COOLER</v>
      </c>
      <c r="F18" t="str">
        <v>PERSONAL COOLER VELO 36L</v>
      </c>
      <c r="G18" t="str">
        <v>Experience ultimate personal comfort with the Havells PERSONAL COOLER VELO 36L. This sleek, modern air cooler efficiently circulates a refreshing breeze, making it a powerful upgrade from traditional pedestal fans. Its 36L capacity ensures extended, effective cooling for your bedroom, home office, or any personal space. Ready to transform your cool?</v>
      </c>
      <c r="H18" t="str">
        <v>Havells</v>
      </c>
      <c r="I18" t="str">
        <v>https://res.cloudinary.com/dthi2vgiz/image/upload/v1777625678/110-0-velo-36-l-36-havells-original-imahaz36zbyffdhh-Photoroom_1_dkj4un.png, https://res.cloudinary.com/dthi2vgiz/image/upload/v1777448963/-original-imah924hhnhrghfh_pzfe8z.webp, https://res.cloudinary.com/dthi2vgiz/image/upload/v1777448965/-original-imah924hfuaze3kf_zwqkso.webp, https://res.cloudinary.com/dthi2vgiz/image/upload/v1777448965/-original-imah924hgp6kbzqq_sy6o0d.webp, https://res.cloudinary.com/dthi2vgiz/image/upload/v1777448966/-original-imah924hxgmygeat_all7e0.webp, https://res.cloudinary.com/dthi2vgiz/image/upload/v1777448966/110-0-velo-36-l-36-havells-original-imahaz363ruh9uxe_awryms.webp</v>
      </c>
      <c r="J18" t="str">
        <v>14590</v>
      </c>
      <c r="K18" t="str">
        <v>personal-cooler-velo-36l</v>
      </c>
      <c r="L18" t="str">
        <v>Havells VELO 36L Air Cooler | Personal Comfort</v>
      </c>
      <c r="M18" t="str">
        <v>Upgrade to the Havells PERSONAL COOLER VELO 36L. Enjoy powerful, long-lasting personal cooling with its 36L capacity and sleek design. Perfect for home or office.</v>
      </c>
      <c r="O18" t="str">
        <v>36L</v>
      </c>
      <c r="P18" t="str">
        <v>true</v>
      </c>
      <c r="Q18" t="str">
        <v>Havells VELO: Your Personal Oasis of Cool.</v>
      </c>
      <c r="R18" t="str">
        <v>https://res.cloudinary.com/dthi2vgiz/video/upload/v1777448175/InShot_20260429_130209480_nojv2d.mp4</v>
      </c>
    </row>
    <row r="19">
      <c r="A19" t="str">
        <v>ZZ04277</v>
      </c>
      <c r="B19" t="str">
        <v>Electrical</v>
      </c>
      <c r="C19" t="str">
        <v>Fans</v>
      </c>
      <c r="D19" t="str">
        <v>Pedestal_Fans</v>
      </c>
      <c r="E19" t="str">
        <v>PEDESTAL FAN</v>
      </c>
      <c r="F19" t="str">
        <v>Turbo Force AC Pedestal Fan</v>
      </c>
      <c r="G19" t="str">
        <v>Durable and efficient motor with WideVolt™ technology (150–265V) for stable performance during voltage fluctuations. Features a 100% copper motor and double ball bearings for smooth, long-lasting operation. Equipped with a thermal overload protector for added safety. Comes with a 2-year guarantee.</v>
      </c>
      <c r="H19" t="str">
        <v>Havells</v>
      </c>
      <c r="I19" t="str">
        <v>https://res.cloudinary.com/dthi2vgiz/image/upload/v1777464324/fhacpstgry18_m_1-Photoroom_pbxlor.png</v>
      </c>
      <c r="J19" t="str">
        <v>15849.99</v>
      </c>
      <c r="K19" t="str">
        <v>turbo-force-ac-pedestal-fan</v>
      </c>
      <c r="L19" t="str">
        <v>Havells Turbo Force AC Pedestal Fan – Premium Pedestal_Fans</v>
      </c>
      <c r="M19" t="str">
        <v>Reliable and efficient motor featuring a WideVolt™ range (150V–265V) for stable performance even during voltage fluctuations. Built with a 100% copper motor and double ball bearings for smooth, long-lasting operation. Includes thermal overload protection for enhanced safety. Comes with a 2-year guarantee.</v>
      </c>
      <c r="O19" t="str">
        <v>450mm</v>
      </c>
      <c r="P19" t="str">
        <v>true</v>
      </c>
      <c r="Q19" t="str">
        <v>Experience the best Turbo Force AC Pedestal Fan today!</v>
      </c>
      <c r="R19" t="str">
        <v/>
      </c>
      <c r="S19" t="str">
        <v/>
      </c>
    </row>
    <row r="20">
      <c r="A20" t="str">
        <v>ZZ04231</v>
      </c>
      <c r="B20" t="str">
        <v>Electrical</v>
      </c>
      <c r="C20" t="str">
        <v>Fans</v>
      </c>
      <c r="D20" t="str">
        <v>Ceiling_Fans</v>
      </c>
      <c r="E20" t="str">
        <v>decorative fan</v>
      </c>
      <c r="F20" t="str">
        <v>Havells 1200 mm Enticer Hues Ceiling Fan</v>
      </c>
      <c r="G20" t="str">
        <v>Introducing the Havells 1200 mm Enticer Hues Ceiling Fan. This decorative ceiling fan delivers powerful airflow with a vibrant, elegant finish. Perfect for adding a stylish touch to modern living rooms, bedrooms, or any space needing a blend of comfort and aesthetic appeal. Discover sophisticated cooling.</v>
      </c>
      <c r="H20" t="str">
        <v>Havells</v>
      </c>
      <c r="I20" t="str">
        <v>https://res.cloudinary.com/dthi2vgiz/image/upload/v1777465178/41STeNaJIkL._SX569_-Photoroom_qfpoue.png</v>
      </c>
      <c r="J20" t="str">
        <v>7170</v>
      </c>
      <c r="K20" t="str">
        <v>havells-1200-mm-enticer-hues-ceiling-fan</v>
      </c>
      <c r="L20" t="str">
        <v>Havells Enticer Hues 1200mm Ceiling Fan</v>
      </c>
      <c r="M20" t="str">
        <v>Enhance your space with the Havells Enticer Hues 1200mm Ceiling Fan. This decorative fan offers powerful airflow and a vibrant, elegant finish. Perfect for stylish living rooms and bedrooms. Discover comfort.</v>
      </c>
      <c r="O20" t="str">
        <v>Dust Resistant, Silver, 1200mm</v>
      </c>
      <c r="P20" t="str">
        <v>false</v>
      </c>
      <c r="Q20" t="str">
        <v/>
      </c>
      <c r="R20" t="str">
        <v/>
      </c>
    </row>
    <row r="21">
      <c r="A21" t="str">
        <v>ZZ06700</v>
      </c>
      <c r="B21" t="str">
        <v>Electrical</v>
      </c>
      <c r="C21" t="str">
        <v>Fans</v>
      </c>
      <c r="D21" t="str">
        <v>Ceiling_Fans</v>
      </c>
      <c r="E21" t="str">
        <v>SPEED FAN</v>
      </c>
      <c r="F21" t="str">
        <v>Enticer Hues Decorative High Speed Ceiling Fan</v>
      </c>
      <c r="G21" t="str">
        <v>Elevate your space with the Havells Enticer Hues 1200mm Decorative Gold Ceiling Fan. Experience dust-resistant, high-speed performance and High Power in Low Voltage (HPLV) technology. This premium ceiling fan adds elegance and powerful airflow, ensuring superior comfort in any room. Discover the Enticer Hues difference and transform your home today.</v>
      </c>
      <c r="H21" t="str">
        <v>Havells</v>
      </c>
      <c r="I21" t="str">
        <v>https://res.cloudinary.com/dthi2vgiz/image/upload/v1777464580/717AHsDmDZL._SX569_-Photoroom_baxvtw.png, https://res.cloudinary.com/dthi2vgiz/image/upload/v1777464631/71JmPnTjSYL._SX569__kbyv7b.jpg, https://res.cloudinary.com/dthi2vgiz/image/upload/v1777464684/71Dj6RdDp7L._SX569__jfy4jl.jpg, https://res.cloudinary.com/dthi2vgiz/image/upload/v1777464715/81-Al5ULrvL._SX569__kkqghu.jpg</v>
      </c>
      <c r="J21" t="str">
        <v>7704.98</v>
      </c>
      <c r="K21" t="str">
        <v>enticer-hues-decorative-high-speed-ceiling-fan</v>
      </c>
      <c r="L21" t="str">
        <v>Havells Enticer Hues 1200mm Gold Ceiling Fan | High Speed</v>
      </c>
      <c r="M21" t="str">
        <v>Experience ultimate comfort with the Havells Enticer Hues 1200mm Decorative Gold Ceiling Fan. Enjoy dust-resistant, HPLV, high-speed airflow. Perfect for any modern home. Shop now!</v>
      </c>
      <c r="O21" t="str">
        <v>1200MM, GOLD</v>
      </c>
      <c r="P21" t="str">
        <v>false</v>
      </c>
      <c r="Q21" t="str">
        <v/>
      </c>
      <c r="R21" t="str">
        <v/>
      </c>
    </row>
    <row r="22">
      <c r="A22" t="str">
        <v>ZZ04228</v>
      </c>
      <c r="B22" t="str">
        <v>Electrical</v>
      </c>
      <c r="C22" t="str">
        <v>Fans</v>
      </c>
      <c r="D22" t="str">
        <v>Ceiling_Fans</v>
      </c>
      <c r="E22" t="str">
        <v>DECORATIVE HIGH SPEED FAN</v>
      </c>
      <c r="F22" t="str">
        <v>Enticer Decorative Dust Resistant High Speed Ceiling Fan</v>
      </c>
      <c r="G22" t="str">
        <v>Premium  Havells Enticer 1200mm Decorative, Dust Resistant, High Power in Low Voltage (HPLV)High Speed Ceiling Fan by Havells, a top‑quality Ceiling_Fans offering sleek design and reliable performance.</v>
      </c>
      <c r="H22" t="str">
        <v>Havells</v>
      </c>
      <c r="I22" t="str">
        <v>https://res.cloudinary.com/dthi2vgiz/image/upload/v1777468647/61Y3u4FNzeL._SX569_-Photoroom_uubonh.png, https://res.cloudinary.com/dthi2vgiz/image/upload/v1777468694/71jitVSrVZL._SL1500__xx6zrz.jpg, https://res.cloudinary.com/dthi2vgiz/image/upload/v1777468696/71_KGnyjsEL._SX569__rik9cf.jpg, https://res.cloudinary.com/dthi2vgiz/image/upload/v1777468696/71Zi4dItMLL._SX569__t16lns.jpg</v>
      </c>
      <c r="J22" t="str">
        <v>7170</v>
      </c>
      <c r="K22" t="str">
        <v>enticer-decorative-dust-resistant-high-speed-ceiling-fan</v>
      </c>
      <c r="L22" t="str">
        <v>Havells  Havells Enticer 1200mm Decorative, Dust Resistant, High Power in Low Voltage (HPLV)High Speed Ceiling Fan – Premium Ceiling_Fans</v>
      </c>
      <c r="M22" t="str">
        <v xml:space="preserve"> Havells Enticer 1200mm Decorative, Dust Resistant, High Power in Low Voltage (HPLV)High Speed Ceiling Fan by Havells: SEO‑friendly, high‑performance Ceiling_Fans for modern installations.</v>
      </c>
      <c r="O22" t="str">
        <v>Bronze Cola Chrome,1200mm</v>
      </c>
      <c r="P22" t="str">
        <v>false</v>
      </c>
      <c r="Q22" t="str">
        <v/>
      </c>
      <c r="R22" t="str">
        <v/>
      </c>
    </row>
    <row r="23">
      <c r="A23" t="str">
        <v>ZZ06484</v>
      </c>
      <c r="B23" t="str">
        <v>Electrical</v>
      </c>
      <c r="C23" t="str">
        <v>Fans</v>
      </c>
      <c r="D23" t="str">
        <v>Ceiling_Fans</v>
      </c>
      <c r="E23" t="str">
        <v>DECORATION FAN</v>
      </c>
      <c r="F23" t="str">
        <v>Enticer Premium Design Ceiling Fan</v>
      </c>
      <c r="G23" t="str">
        <v>Elevate your living &amp; bedroom with the Havells Enticer Premium Design 1200 mm Ceiling Fan. Experience superior High Air Delivery &amp; Hi Speed performance from wider blades and a 100% copper winding motor. Its stunning metallic Rose Gold finish adds elegance, while dust resistance ensures lasting beauty. Discover the perfect blend of style and comfort for your home.</v>
      </c>
      <c r="H23" t="str">
        <v>Havells</v>
      </c>
      <c r="I23" t="str">
        <v>https://res.cloudinary.com/dthi2vgiz/image/upload/v1777470529/51PVLMUDlOL._SX569_-Photoroom_co97m1.png, https://res.cloudinary.com/dthi2vgiz/image/upload/v1777470562/71sBSXLVMDL._SL1500__phf2tt.jpg, https://res.cloudinary.com/dthi2vgiz/image/upload/v1777470601/71_HI-pmeKL._SL1500__iibzpe.jpg</v>
      </c>
      <c r="J23" t="str">
        <v>5458.99</v>
      </c>
      <c r="K23" t="str">
        <v>enticer-premium-design-ceiling-fan</v>
      </c>
      <c r="L23" t="str">
        <v>Havells Enticer Rose Gold 1200mm Ceiling Fan</v>
      </c>
      <c r="M23" t="str">
        <v>Upgrade your space with the Havells Enticer Rose Gold 1200mm Ceiling Fan. Enjoy high air delivery, hi-speed, and dust resistance for living &amp; bedroom interiors. Stylish &amp; efficient.</v>
      </c>
      <c r="O23" t="str">
        <v>ROSE GOLD, 1200mm</v>
      </c>
      <c r="P23" t="str">
        <v>false</v>
      </c>
      <c r="Q23" t="str">
        <v/>
      </c>
      <c r="R23" t="str">
        <v/>
      </c>
    </row>
    <row r="24">
      <c r="A24" t="str">
        <v>ZZ04229</v>
      </c>
      <c r="B24" t="str">
        <v>Electrical</v>
      </c>
      <c r="C24" t="str">
        <v>Fans</v>
      </c>
      <c r="D24" t="str">
        <v>Ceiling_Fans</v>
      </c>
      <c r="E24" t="str">
        <v>DECORATIVE FAN</v>
      </c>
      <c r="F24" t="str">
        <v>Enticer Premium Design 1200mm Ceiling Fan Espresso Brown Copper</v>
      </c>
      <c r="G24" t="str">
        <v>Premium Enticer Premium Design 1200mm Ceiling Fan Espresso Brown Copper by Havells, a top‑quality Ceiling_Fans offering sleek design and reliable performance.</v>
      </c>
      <c r="H24" t="str">
        <v>Havells</v>
      </c>
      <c r="I24" t="str">
        <v>https://res.cloudinary.com/dthi2vgiz/image/upload/v1777471063/51RDQlTwjTL._SX569_-Photoroom_sk3rki.png,https://res.cloudinary.com/dthi2vgiz/image/upload/v1777471499/715TihdFfxL._SX569__w0n5ki.jpg</v>
      </c>
      <c r="J24" t="str">
        <v>4834.66</v>
      </c>
      <c r="K24" t="str">
        <v>enticer-premium-design-1200mm-ceiling-fan-espresso-brown-copper</v>
      </c>
      <c r="L24" t="str">
        <v>Havells Enticer Premium Design 1200mm Ceiling Fan Espresso Brown Copper – Premium Ceiling_Fans</v>
      </c>
      <c r="M24" t="str">
        <v>Enticer Premium Design 1200mm Ceiling Fan Espresso Brown Copper by Havells: SEO‑friendly, high‑performance Ceiling_Fans for modern installations.</v>
      </c>
      <c r="O24" t="str">
        <v>1200mm, Espresso Brown Copper</v>
      </c>
      <c r="P24" t="str">
        <v>false</v>
      </c>
      <c r="Q24" t="str">
        <v/>
      </c>
      <c r="R24" t="str">
        <v/>
      </c>
    </row>
    <row r="25">
      <c r="A25" t="str">
        <v>ZZ04227</v>
      </c>
      <c r="B25" t="str">
        <v>Electrical</v>
      </c>
      <c r="C25" t="str">
        <v>Fans</v>
      </c>
      <c r="D25" t="str">
        <v>Ceiling_Fans</v>
      </c>
      <c r="E25" t="str">
        <v>decoration fan</v>
      </c>
      <c r="F25" t="str">
        <v>Enticer 1200mm Ceiling Fan</v>
      </c>
      <c r="G25" t="str">
        <v>Elevate your home's aesthetics with the Havells Enticer 1200mm Ceiling Fan. More than just airflow, this exquisite decoration fan boasts a premium finish and elegant design. Ideal for living rooms, bedrooms, or any space desiring a sophisticated touch. Experience the perfect blend of style and superior comfort. Isn't it time your home truly shined?</v>
      </c>
      <c r="H25" t="str">
        <v>Havells</v>
      </c>
      <c r="I25" t="str">
        <v>https://res.cloudinary.com/dthi2vgiz/image/upload/v1777627156/510ghn5SxrL._SX569_-Photoroom_raj6vt.png,https://res.cloudinary.com/dthi2vgiz/image/upload/v1777627156/61RGkL7i_L._SX569_-Photoroom_n5812x.png,https://res.cloudinary.com/dthi2vgiz/image/upload/v1777627156/61EqRnyGpYL._SX569__r6nc9j.jpg</v>
      </c>
      <c r="J25" t="str">
        <v>7705</v>
      </c>
      <c r="K25" t="str">
        <v>enticer-1200mm-ceiling-fan</v>
      </c>
      <c r="L25" t="str">
        <v>Havells Enticer 1200mm Ceiling Fan | Premium Style</v>
      </c>
      <c r="M25" t="str">
        <v>Discover the Havells Enticer 1200mm decoration ceiling fan. Experience elegant design, powerful airflow, and a premium finish. Perfect for stylish homes. Shop now for comfort &amp; sophistication.</v>
      </c>
      <c r="O25" t="str">
        <v>Beige Copper</v>
      </c>
      <c r="P25" t="str">
        <v>false</v>
      </c>
      <c r="Q25" t="str">
        <v/>
      </c>
      <c r="R25" t="str">
        <v/>
      </c>
    </row>
    <row r="26">
      <c r="A26" t="str">
        <v>ZZ04226</v>
      </c>
      <c r="B26" t="str">
        <v>Electrical</v>
      </c>
      <c r="C26" t="str">
        <v>Fans</v>
      </c>
      <c r="D26" t="str">
        <v>Ceiling_Fans</v>
      </c>
      <c r="E26" t="str">
        <v>Decorative Ceiling Fan</v>
      </c>
      <c r="F26" t="str">
        <v>Enticer Art Ns ES Wave 73W Sapphire Decorative Ceiling Fan</v>
      </c>
      <c r="G26" t="str">
        <v>Elevate your home's aesthetic with the Havells Enticer Art Ns ES Wave 73W Sapphire Decorative Ceiling Fan. This premium ceiling fan masterfully combines powerful 73W airflow with stunning design. Its unique Art Ns ES Wave blades and luxurious Sapphire finish bring sophisticated elegance to any modern living room, bedroom, or upscale space. Enjoy superior cooling and a statement piece. Discover the perfect blend of style and comfort for your sanctuary today.</v>
      </c>
      <c r="H26" t="str">
        <v>Havells</v>
      </c>
      <c r="I26" t="str">
        <v>https://res.cloudinary.com/dthi2vgiz/image/upload/v1777628000/41RdMqC9XBL._SX569_-Photoroom_panezi.png</v>
      </c>
      <c r="J26" t="str">
        <v>7704.98</v>
      </c>
      <c r="K26" t="str">
        <v>enticer-art-ns-es-wave-73w-sapphire-decorative-ceiling-fan</v>
      </c>
      <c r="L26" t="str">
        <v>Havells Enticer Art Ns ES Wave Sapphire Ceiling Fan</v>
      </c>
      <c r="M26" t="str">
        <v>Elevate your space with the Havells Enticer Art Ns ES Wave Sapphire Decorative Ceiling Fan. Experience powerful cooling and exquisite style. Perfect for modern homes.</v>
      </c>
      <c r="O26" t="str">
        <v>1200MM,Sapphire</v>
      </c>
      <c r="P26" t="str">
        <v>false</v>
      </c>
      <c r="Q26" t="str">
        <v/>
      </c>
      <c r="R26" t="str">
        <v/>
      </c>
    </row>
    <row r="27">
      <c r="A27" t="str">
        <v>ZZ04225</v>
      </c>
      <c r="B27" t="str">
        <v>Electrical</v>
      </c>
      <c r="C27" t="str">
        <v>Fans</v>
      </c>
      <c r="D27" t="str">
        <v>Ceiling_Fans</v>
      </c>
      <c r="E27" t="str">
        <v>DECORATION FAN</v>
      </c>
      <c r="F27" t="str">
        <v>ENTICER ART NS WAVE PEARL BROWN</v>
      </c>
      <c r="G27" t="str">
        <v>Elevate your living spaces with the Havells ENTICER ART NS WAVE PEARL BROWN Ceiling Fan. This decoration fan boasts a unique wave design and elegant pearl brown finish, adding a touch of sophisticated artistry to any modern interior. Experience powerful airflow and whisper-quiet operation. Redefine your comfort and style. Discover the artistry of Havells.</v>
      </c>
      <c r="H27" t="str">
        <v>Havells</v>
      </c>
      <c r="I27" t="str">
        <v>https://res.cloudinary.com/dthi2vgiz/image/upload/v1777628525/1200-mm-fan-enticer-art-ns-wave-73-1-ceiling-fan-1200-havells-original-imaga3bcvcpsm3ez_w3luat.webp,https://res.cloudinary.com/dthi2vgiz/image/upload/v1777628525/1200-mm-fan-enticer-art-ns-wave-73-1-ceiling-fan-1200-havells-original-imaga3bcgxguch7q_iet0sj.webp,https://res.cloudinary.com/dthi2vgiz/image/upload/v1777628524/1200-mm-fan-enticer-art-ns-wave-73-1-ceiling-fan-1200-havells-original-imaga3bcdvgvds8m_nirtye.webp</v>
      </c>
      <c r="J27" t="str">
        <v>7705</v>
      </c>
      <c r="K27" t="str">
        <v>enticer-art-ns-wave-pearl-brown</v>
      </c>
      <c r="L27" t="str">
        <v>Havells ENTICER ART NS WAVE Pearl Brown Ceiling Fan</v>
      </c>
      <c r="M27" t="str">
        <v>Discover the Havells ENTICER ART NS WAVE Pearl Brown Ceiling Fan. A stylish decoration fan with a unique wave design and elegant finish. Elevate your modern living space with powerful airflow &amp; quiet comfort. Shop now!</v>
      </c>
      <c r="O27" t="str">
        <v>PEARL BROWN, 1200MM</v>
      </c>
      <c r="P27" t="str">
        <v>false</v>
      </c>
      <c r="Q27" t="str">
        <v/>
      </c>
      <c r="R27" t="str">
        <v/>
      </c>
    </row>
    <row r="28">
      <c r="A28" t="str">
        <v>ZZ06618</v>
      </c>
      <c r="B28" t="str">
        <v>Electrical</v>
      </c>
      <c r="C28" t="str">
        <v>Fans</v>
      </c>
      <c r="D28" t="str">
        <v>Ceiling_Fans</v>
      </c>
      <c r="E28" t="str">
        <v>DECORATION FAN</v>
      </c>
      <c r="F28" t="str">
        <v>HF ES ENTICER VINEER WALLNUT WHITE</v>
      </c>
      <c r="G28" t="str">
        <v>Discover the Havells HF ES ENTICER VINEER WALLNUT WHITE Ceiling Fan. This premium decoration fan combines a sophisticated vineer walnut white finish with efficient airflow, perfect for elevating the ambiance of your living room or master suite. Enhance your space with unmatched style and comfort.</v>
      </c>
      <c r="H28" t="str">
        <v>Havells</v>
      </c>
      <c r="I28" t="str">
        <v>https://res.cloudinary.com/dthi2vgiz/image/upload/v1777630073/61oziIu8CcL._SX569__rhokk9.png,https://res.cloudinary.com/dthi2vgiz/image/upload/v1777630073/810csjmOxmL._SX569__hwg6tl.jpg</v>
      </c>
      <c r="J28" t="str">
        <v>7704.98</v>
      </c>
      <c r="K28" t="str">
        <v>hf-es-enticer-vineer-wallnut-white</v>
      </c>
      <c r="L28" t="str">
        <v>Havells HF ES ENTICER VINEER WALLNUT WHITE Ceiling Fan</v>
      </c>
      <c r="M28" t="str">
        <v>Elevate your home with the Havells HF ES ENTICER VINEER WALLNUT WHITE Ceiling Fan. A premium decoration fan offering sophisticated style &amp; efficient cooling for living rooms. Shop now!</v>
      </c>
      <c r="O28" t="str">
        <v>WALLNUT WHITE,1200mm</v>
      </c>
      <c r="P28" t="str">
        <v>false</v>
      </c>
      <c r="Q28" t="str">
        <v/>
      </c>
      <c r="R28" t="str">
        <v/>
      </c>
    </row>
    <row r="29">
      <c r="A29" t="str">
        <v>ZZ08215</v>
      </c>
      <c r="B29" t="str">
        <v>Electrical</v>
      </c>
      <c r="C29" t="str">
        <v>Fans</v>
      </c>
      <c r="D29" t="str">
        <v>Ceiling_Fans</v>
      </c>
      <c r="E29" t="str">
        <v>Energy Saving</v>
      </c>
      <c r="F29" t="str">
        <v>Stealth Slim BLDC Remote Controlled Reverse Rotation</v>
      </c>
      <c r="G29" t="str">
        <v>Elevate your space with the Havells Stealth Slim BLDC Remote Controlled Reverse Rotation Ceiling Fan. This energy-saving marvel offers whisper-quiet operation and year-round comfort with its innovative reverse rotation feature. Its sleek, modern finish complements any contemporary living room or bedroom. Experience superior airflow and smart design. Upgrade your home today.</v>
      </c>
      <c r="H29" t="str">
        <v>Havells</v>
      </c>
      <c r="I29" t="str">
        <v>https://res.cloudinary.com/dthi2vgiz/image/upload/v1777630359/51CqfcPd6JL._SX569__c6qx4v.png, https://res.cloudinary.com/dthi2vgiz/image/upload/v1777630360/61trVKreRdL._SX569__vdgkv2.jpg, https://res.cloudinary.com/dthi2vgiz/image/upload/v1777630360/71TPTjjUe7L._SX569__wzzrp7.jpg, https://res.cloudinary.com/dthi2vgiz/image/upload/v1777630360/71Qj91N3aZL._SX569__pegwcl.jpg, https://res.cloudinary.com/dthi2vgiz/image/upload/v1777630360/61xhVc0wuXL._SX569__mqwxef.jpg</v>
      </c>
      <c r="J29" t="str">
        <v>9120</v>
      </c>
      <c r="K29" t="str">
        <v>stealth-slim-bldc-remote-controlled-reverse-rotation</v>
      </c>
      <c r="L29" t="str">
        <v>Havells Stealth Slim BLDC Ceiling Fan - Energy Saving</v>
      </c>
      <c r="M29" t="str">
        <v>Discover the Havells Stealth Slim BLDC Ceiling Fan. Enjoy energy-saving, quiet performance with remote-controlled reverse rotation for year-round comfort. Perfect for modern homes. Shop now!</v>
      </c>
      <c r="O29" t="str">
        <v>Remote Controlled,Stone Grey</v>
      </c>
      <c r="P29" t="str">
        <v>true</v>
      </c>
      <c r="Q29" t="str">
        <v/>
      </c>
      <c r="R29" t="str">
        <v/>
      </c>
    </row>
    <row r="30">
      <c r="A30" t="str">
        <v>ZZ08182</v>
      </c>
      <c r="B30" t="str">
        <v>Electrical</v>
      </c>
      <c r="C30" t="str">
        <v>Fans</v>
      </c>
      <c r="D30" t="str">
        <v>Ceiling_Fans</v>
      </c>
      <c r="E30" t="str">
        <v>decoration fan</v>
      </c>
      <c r="F30" t="str">
        <v xml:space="preserve"> EPIC BLDC U/L MATT BLACK 1200MM CEILING FAN</v>
      </c>
      <c r="G30" t="str">
        <v>Experience superior comfort with the Havells FAB BLDC Ceiling Fan. This sleek black ceiling fan features 380 RPM reverse rotation and 4 intelligent modes, delivering powerful 225 CMM airflow at just 30W. Enjoy whisper-quiet, energy-efficient cooling in any modern living space or bedroom. Backed by a 3-year warranty. Upgrade your home's ambiance and efficiency today.</v>
      </c>
      <c r="H30" t="str">
        <v>Havells</v>
      </c>
      <c r="I30" t="str">
        <v>https://res.cloudinary.com/dthi2vgiz/image/upload/v1777630907/51R5UgvPNfL._SX569__1_mx3fds.jpg, https://res.cloudinary.com/dthi2vgiz/image/upload/v1777630963/61yE6-NIcyL._SL1500__jik7ml.jpg, https://res.cloudinary.com/dthi2vgiz/image/upload/v1777630964/71A_F5DW8IL._SX569__ajqwip.jpg, https://res.cloudinary.com/dthi2vgiz/image/upload/v1777630965/710lKQsGvIL._SX569__ljgdna.jpghttps://res.cloudinary.com/dthi2vgiz/image/upload/v1777630964/713b5SZFszL._SX569__vcbuqc.jpg, https://res.cloudinary.com/dthi2vgiz/image/upload/v1777630966/61np6DKyskL._SX569__janysb.jpg</v>
      </c>
      <c r="J30" t="str">
        <v>6700</v>
      </c>
      <c r="K30" t="str">
        <v>epic-bldc-ul-matt-black-1200mm-ceiling-fan</v>
      </c>
      <c r="L30" t="str">
        <v>Havells FAB BLDC Ceiling Fan - Energy Efficient Black</v>
      </c>
      <c r="M30" t="str">
        <v>Discover the Havells FAB BLDC black ceiling fan. Features 380 RPM reverse rotation, 4 modes, 30W low wattage, and quiet operation. Perfect for modern homes.</v>
      </c>
      <c r="O30" t="str">
        <v>Matt Black, Remote fan</v>
      </c>
      <c r="P30" t="str">
        <v>false</v>
      </c>
      <c r="Q30" t="str">
        <v/>
      </c>
      <c r="R30" t="str">
        <v/>
      </c>
    </row>
    <row r="31">
      <c r="A31" t="str">
        <v>ZZ08181</v>
      </c>
      <c r="B31" t="str">
        <v>Electrical</v>
      </c>
      <c r="C31" t="str">
        <v>Fans</v>
      </c>
      <c r="D31" t="str">
        <v>Ceiling_Fans</v>
      </c>
      <c r="E31" t="str">
        <v>decoration fan</v>
      </c>
      <c r="F31" t="str">
        <v>EPIC BLDC PRO P.WOOD MATT BLACK</v>
      </c>
      <c r="G31" t="str">
        <v>Havells EPIC BLDC PRO P.WOOD MATT BLACK Ceiling Fan redefines modern comfort. Experience whisper-quiet, energy-efficient cooling with its advanced BLDC motor and elegant polywood blades. The sophisticated matt black finish seamlessly blends with contemporary interiors, making it a perfect decoration fan for any stylish home or office. Discover the ideal blend of performance and design for your space.</v>
      </c>
      <c r="H31" t="str">
        <v>Havells</v>
      </c>
      <c r="I31" t="str">
        <v>https://res.cloudinary.com/dthi2vgiz/image/upload/v1777631737/epic_pro_pinewood_1_qymey8.png</v>
      </c>
      <c r="J31" t="str">
        <v>7389.98</v>
      </c>
      <c r="K31" t="str">
        <v>epic-bldc-pro-pwood-matt-black</v>
      </c>
      <c r="L31" t="str">
        <v>Havells EPIC BLDC PRO Matt Black Ceiling Fan</v>
      </c>
      <c r="M31" t="str">
        <v>Elevate your home with the Havells EPIC BLDC PRO Matt Black Ceiling Fan. Enjoy whisper-quiet, energy-saving cooling and stunning design. Perfect for modern interiors. Shop now!</v>
      </c>
      <c r="O31" t="str">
        <v>1200 mm (Pinewood)</v>
      </c>
      <c r="P31" t="str">
        <v>false</v>
      </c>
      <c r="Q31" t="str">
        <v/>
      </c>
      <c r="R31" t="str">
        <v/>
      </c>
    </row>
    <row r="32">
      <c r="A32" t="str">
        <v>ZZ02598</v>
      </c>
      <c r="B32" t="str">
        <v>Electrical</v>
      </c>
      <c r="C32" t="str">
        <v>Power_Distribution</v>
      </c>
      <c r="D32" t="str">
        <v>Circuit_Breakers</v>
      </c>
      <c r="E32" t="str">
        <v>MCB</v>
      </c>
      <c r="F32" t="str">
        <v>RX3 SINGLE POLE MCB</v>
      </c>
      <c r="G32" t="str">
        <v>Protect your circuits with the Legrand RX3 SP MCB. Engineered for superior safety and reliability, this single-pole miniature circuit breaker boasts a robust, professional finish. Perfect for residential and light commercial panel boards, it ensures optimal electrical protection. Secure your system; choose Legrand.</v>
      </c>
      <c r="H32" t="str">
        <v>Legrand</v>
      </c>
      <c r="I32" t="str">
        <v>https://res.cloudinary.com/dthi2vgiz/image/upload/v1777892401/legrand-6a-mcb-500x500-Photoroom_gu2qwx.png</v>
      </c>
      <c r="J32" t="str">
        <v>254</v>
      </c>
      <c r="K32" t="str">
        <v>rx3-single-pole-mcb</v>
      </c>
      <c r="L32" t="str">
        <v>Legrand RX3 SP MCB | Superior Circuit Protection</v>
      </c>
      <c r="M32" t="str">
        <v>Shop the Legrand RX3 SP MCB, a single-pole miniature circuit breaker for robust electrical protection. Ideal for home &amp; commercial panel boards. Ensure safety now!</v>
      </c>
      <c r="O32" t="str">
        <v>6A</v>
      </c>
      <c r="P32" t="str">
        <v>false</v>
      </c>
      <c r="Q32" t="str">
        <v/>
      </c>
      <c r="R32" t="str">
        <v/>
      </c>
      <c r="S32" t="str">
        <v>[{"variant_id":"10A","price":254,"part_no":"ZZ06314","sku":"","images":["https://res.cloudinary.com/dthi2vgiz/image/upload/v1777893036/whatsapp-image-2024-09-13-at-5-06-07-pm-2-500x500-Photoroom_cr501x.png"]},{"variant_id":"16A","price":254,"part_no":"ZZ01100","sku":"","images":["https://res.cloudinary.com/dthi2vgiz/image/upload/v1777892974/b16-500x500-Photoroom_w3qrrd.png"]},{"variant_id":"20A","price":254,"part_no":"ZZ01432","sku":"","images":["https://res.cloudinary.com/dthi2vgiz/image/upload/v1777893143/legrand-rx3-20a-single-pole-mcb-Photoroom_kmj6kv.png"]},{"variant_id":"25A","price":254,"part_no":"ZZ01628","sku":"","images":["https://res.cloudinary.com/dthi2vgiz/image/upload/v1777893226/rx3-sp-25-a-500x500-Photoroom_rljjpj.png"]},{"variant_id":"32A","price":390,"part_no":"ZZ01843","sku":"","images":["https://res.cloudinary.com/dthi2vgiz/image/upload/v1777896665/legrand-rx3-single-pole-32-a-b-curve-mcb-1-Photoroom_jwm89g.png"]}]</v>
      </c>
    </row>
    <row r="33">
      <c r="A33" t="str">
        <v>ZZ07660</v>
      </c>
      <c r="B33" t="str">
        <v>Electrical</v>
      </c>
      <c r="C33" t="str">
        <v>Power_Distribution</v>
      </c>
      <c r="D33" t="str">
        <v>Circuit_Breakers</v>
      </c>
      <c r="E33" t="str">
        <v>MCB</v>
      </c>
      <c r="F33" t="str">
        <v>DX3 63A SINGLE POLE MCB</v>
      </c>
      <c r="G33" t="str">
        <v>Elevate your electrical safety with the Legrand 63A Single Pole MCB. This premium Miniature Circuit Breaker offers robust overload and short-circuit protection for residential and commercial applications. Its sleek, durable design ensures reliable performance and a modern finish. Invest in unparalleled circuit protection. Secure your power with Legrand.</v>
      </c>
      <c r="H33" t="str">
        <v>Legrand</v>
      </c>
      <c r="I33" t="str">
        <v>https://res.cloudinary.com/dthi2vgiz/image/upload/v1777897619/61mGVXZtxpL_xth1f6_qek4mw.png</v>
      </c>
      <c r="J33" t="str">
        <v>436</v>
      </c>
      <c r="K33" t="str">
        <v>dx3-63a-single-pole-mcb</v>
      </c>
      <c r="L33" t="str">
        <v>Legrand 63A Single Pole MCB | Circuit Breaker</v>
      </c>
      <c r="M33" t="str">
        <v>Ensure superior electrical safety with the Legrand 63A Single Pole MCB. Get robust overload &amp; short-circuit protection for residential &amp; commercial circuits. Shop reliable Legrand circuit breakers now!</v>
      </c>
      <c r="O33" t="str">
        <v>63A</v>
      </c>
      <c r="P33" t="str">
        <v>false</v>
      </c>
      <c r="Q33" t="str">
        <v/>
      </c>
      <c r="R33" t="str">
        <v/>
      </c>
      <c r="S33" t="str">
        <v/>
      </c>
    </row>
    <row r="34">
      <c r="A34" t="str">
        <v>ZZ06306</v>
      </c>
      <c r="B34" t="str">
        <v>Electrical</v>
      </c>
      <c r="C34" t="str">
        <v>Power_Distribution</v>
      </c>
      <c r="D34" t="str">
        <v>Circuit_Breakers</v>
      </c>
      <c r="E34" t="str">
        <v>MCB</v>
      </c>
      <c r="F34" t="str">
        <v xml:space="preserve">DX3 2-POLE MCB </v>
      </c>
      <c r="G34" t="str">
        <v>Legrand DX3 DOUBLE POLE MCB: This premium miniature circuit breaker (MCB) ensures robust electrical protection. Its sleek, double pole design offers superior safety, guarding against overloads &amp; short circuits. Ideal for critical circuits in residential, commercial, or light industrial panels. Experience unmatched circuit integrity with Legrand. Protect your installations today.</v>
      </c>
      <c r="H34" t="str">
        <v>Legrand</v>
      </c>
      <c r="I34" t="str">
        <v>https://res.cloudinary.com/dthi2vgiz/image/upload/v1777899015/407798-LEGRAND-1000-Photoroom_vcr85u.png</v>
      </c>
      <c r="J34" t="str">
        <v>1280</v>
      </c>
      <c r="K34" t="str">
        <v>dx3-2-pole-mcb</v>
      </c>
      <c r="L34" t="str">
        <v>Legrand DX3 DOUBLE POLE MCB | Reliable Circuit Protection</v>
      </c>
      <c r="M34" t="str">
        <v>Protect your electrical systems with the Legrand DX3 DOUBLE POLE MCB. This miniature circuit breaker offers reliable double pole protection against overloads &amp; short circuits. Ideal for home or business. Shop now!</v>
      </c>
      <c r="O34" t="str">
        <v>10A</v>
      </c>
      <c r="P34" t="str">
        <v>false</v>
      </c>
      <c r="Q34" t="str">
        <v/>
      </c>
      <c r="R34" t="str">
        <v/>
      </c>
      <c r="S34" t="str">
        <v>[{"variant_id":"16A","price":1280,"part_no":"ZZ01091","sku":"","images":["https://res.cloudinary.com/dthi2vgiz/image/upload/v1777899122/419873-LEGRAND-1000-Photoroom_jblq2f.png"]},{"variant_id":"40A","price":2014,"part_no":"ZZ02190","sku":"","images":["https://res.cloudinary.com/dthi2vgiz/image/upload/v1777899332/LG-419877-WEB-R-Photoroom_mpmkol.png"]},{"variant_id":"63A","price":2014,"part_no":"ZZ02430","sku":"","images":["https://res.cloudinary.com/dthi2vgiz/image/upload/v1777899503/61g--sguK_L._SY445_-Photoroom_apykfu.png"]}]</v>
      </c>
    </row>
    <row r="35">
      <c r="A35" t="str">
        <v>ZZ02198</v>
      </c>
      <c r="B35" t="str">
        <v>Electrical</v>
      </c>
      <c r="C35" t="str">
        <v>Power_Distribution</v>
      </c>
      <c r="D35" t="str">
        <v>Circuit_Breakers</v>
      </c>
      <c r="E35" t="str">
        <v>MCB</v>
      </c>
      <c r="F35" t="str">
        <v>40A 3-POLE MCB</v>
      </c>
      <c r="G35" t="str">
        <v>Legrand 40A 3-POLE MCB: Premium circuit protection for demanding industrial &amp; commercial applications. Its robust, sleek design ensures reliable safety for critical systems. This high-performance Legrand Circuit Breaker offers unmatched durability. Secure your infrastructure; explore Legrand today.</v>
      </c>
      <c r="H35" t="str">
        <v>Legrand</v>
      </c>
      <c r="I35" t="str">
        <v>https://res.cloudinary.com/dthi2vgiz/image/upload/v1777901705/71ZiAXOX97L-Photoroom_xpdedv.png</v>
      </c>
      <c r="J35" t="str">
        <v>3150</v>
      </c>
      <c r="K35" t="str">
        <v>40a-3-pole-mcb</v>
      </c>
      <c r="L35" t="str">
        <v>Legrand 40A 3-POLE MCB | Premium Circuit Breaker</v>
      </c>
      <c r="M35" t="str">
        <v>Protect critical systems with the Legrand 40A 3-POLE MCB. Experience superior, robust circuit protection for industrial &amp; commercial applications. Ensure safety &amp; reliability. Shop Legrand.</v>
      </c>
      <c r="O35" t="str">
        <v>40A</v>
      </c>
      <c r="P35" t="str">
        <v>false</v>
      </c>
      <c r="Q35" t="str">
        <v/>
      </c>
      <c r="R35" t="str">
        <v/>
      </c>
      <c r="S35" t="str">
        <v>[{"variant_id":"63A","price":3150,"part_no":"ZZ02440","sku":"","images":["https://res.cloudinary.com/dthi2vgiz/image/upload/v1777901871/71HowsGQeLL-Photoroom_zzsefg.png"]}]</v>
      </c>
    </row>
    <row r="36">
      <c r="A36" t="str">
        <v>ZZ02431</v>
      </c>
      <c r="B36" t="str">
        <v>Electrical</v>
      </c>
      <c r="C36" t="str">
        <v>Power_Distribution</v>
      </c>
      <c r="D36" t="str">
        <v>Circuit_Breakers</v>
      </c>
      <c r="E36" t="str">
        <v>MCB</v>
      </c>
      <c r="F36" t="str">
        <v>63A 4-POLE MCB</v>
      </c>
      <c r="G36" t="str">
        <v>Elevate electrical safety with the Legrand 63A 4-POLE MCB. This robust Circuit Breaker offers superior overload and short-circuit protection for demanding commercial, industrial, and high-load residential applications. Its sleek, durable design ensures reliable performance and seamless integration into your electrical panel. Trust Legrand for uncompromising power distribution. Discover true peace of mind.</v>
      </c>
      <c r="H36" t="str">
        <v>Legrand</v>
      </c>
      <c r="I36" t="str">
        <v>https://res.cloudinary.com/dthi2vgiz/image/upload/v1777902043/71AV69WY1EL._SX385_-Photoroom_tlsaau.png</v>
      </c>
      <c r="J36" t="str">
        <v>3802</v>
      </c>
      <c r="K36" t="str">
        <v>63a-4-pole-mcb</v>
      </c>
      <c r="L36" t="str">
        <v>Legrand 63A 4-POLE MCB | Circuit Breaker Protection</v>
      </c>
      <c r="M36" t="str">
        <v>Ensure ultimate electrical safety with Legrand's 63A 4-POLE MCB. Get robust overload &amp; short-circuit protection for commercial &amp; industrial use. High-quality circuit breaker for reliable power.</v>
      </c>
      <c r="O36" t="str">
        <v>63A</v>
      </c>
      <c r="P36" t="str">
        <v>false</v>
      </c>
      <c r="Q36" t="str">
        <v/>
      </c>
      <c r="R36" t="str">
        <v/>
      </c>
      <c r="S36" t="str">
        <v/>
      </c>
    </row>
    <row r="37">
      <c r="A37" t="str">
        <v>ZZ08228</v>
      </c>
      <c r="B37" t="str">
        <v>Electrical</v>
      </c>
      <c r="C37" t="str">
        <v>Power_Distribution</v>
      </c>
      <c r="D37" t="str">
        <v>Circuit_Breakers</v>
      </c>
      <c r="E37" t="str">
        <v>DP MCB</v>
      </c>
      <c r="F37" t="str">
        <v xml:space="preserve">DP MCB C ELEGNA </v>
      </c>
      <c r="G37" t="str">
        <v>Elevate your electrical safety with the V-Guard DP MCB C ELEGNA. This premium Double Pole Miniature Circuit Breaker offers reliable overcurrent and short-circuit protection for modern homes and businesses. Its sleek finish complements any switchboard, ensuring dependable performance with a touch of sophistication. Experience uncompromised safety. Explore the V-Guard difference today.</v>
      </c>
      <c r="H37" t="str">
        <v>V-Guard</v>
      </c>
      <c r="I37" t="str">
        <v>https://res.cloudinary.com/dthi2vgiz/image/upload/v1777903092/sp-v-guard-mini-mcb-Photoroom_wrivsf.png</v>
      </c>
      <c r="J37" t="str">
        <v>856</v>
      </c>
      <c r="K37" t="str">
        <v>dp-mcb-c-elegna</v>
      </c>
      <c r="L37" t="str">
        <v>V-Guard DP MCB C ELEGNA | Premium Circuit Breaker</v>
      </c>
      <c r="M37" t="str">
        <v>Protect your electrical systems with the V-Guard DP MCB C ELEGNA. This high-quality double pole circuit breaker offers superior overcurrent &amp; short-circuit protection for homes &amp; businesses. Ensure safety.</v>
      </c>
      <c r="O37" t="str">
        <v>10A</v>
      </c>
      <c r="P37" t="str">
        <v>false</v>
      </c>
      <c r="Q37" t="str">
        <v/>
      </c>
      <c r="R37" t="str">
        <v/>
      </c>
      <c r="S37" t="str">
        <v>[{"variant_id":"16A","price":856,"part_no":"ZZ08229","sku":"","images":["https://res.cloudinary.com/dthi2vgiz/image/upload/v1777904260/WhatsApp_Image_2026-05-04_at_7.33.11_PM-Photoroom_lenex2.png"]},{"variant_id":"20A","price":877,"part_no":"ZZ08230","sku":"","images":["https://res.cloudinary.com/dthi2vgiz/image/upload/v1777904633/WhatsApp_Image_2026-05-04_at_7.42.25_PM_1_-Photoroom_khojlo.png"]},{"variant_id":"25A","price":877,"part_no":"ZZ08231","sku":"","images":["https://res.cloudinary.com/dthi2vgiz/image/upload/v1777905206/WhatsApp_Image_2026-05-04_at_7.38.09_PM_1_-Photoroom_h5be1f.png"]},{"variant_id":"32A","price":877,"part_no":"ZZ08135","sku":"","images":["https://res.cloudinary.com/dthi2vgiz/image/upload/v1777904289/WhatsApp_Image_2026-05-04_at_7.35.43_PM-Photoroom_dndhkn.png"]}]</v>
      </c>
    </row>
    <row r="38">
      <c r="A38" t="str">
        <v>ZZ01340</v>
      </c>
      <c r="B38" t="str">
        <v>Electrical</v>
      </c>
      <c r="C38" t="str">
        <v>Power_Distribution</v>
      </c>
      <c r="D38" t="str">
        <v>Circuit_Breakers</v>
      </c>
      <c r="E38" t="str">
        <v>MCB</v>
      </c>
      <c r="F38" t="str">
        <v xml:space="preserve">C 20A SINGLE POLE MINI MCB </v>
      </c>
      <c r="G38" t="str">
        <v>Premium C 20A SINGLE POLE MINI MCB  by Havells, a top‑quality Circuit_Breakers offering sleek design and reliable performance.</v>
      </c>
      <c r="H38" t="str">
        <v>Havells</v>
      </c>
      <c r="I38" t="str">
        <v>https://res.cloudinary.com/dthi2vgiz/image/upload/v1777906152/WhatsApp_Image_2026-05-04_at_8.18.21_PM-Photoroom_xzmjbb.png</v>
      </c>
      <c r="J38" t="str">
        <v>164.99</v>
      </c>
      <c r="K38" t="str">
        <v>c-20a-single-pole-mini-mcb</v>
      </c>
      <c r="L38" t="str">
        <v>Havells C 20A SINGLE POLE MINI MCB  – Premium Circuit_Breakers</v>
      </c>
      <c r="M38" t="str">
        <v>C 20A SINGLE POLE MINI MCB  by Havells: SEO‑friendly, high‑performance Circuit_Breakers for modern installations.</v>
      </c>
      <c r="O38" t="str">
        <v>20A</v>
      </c>
      <c r="P38" t="str">
        <v>false</v>
      </c>
      <c r="Q38" t="str">
        <v/>
      </c>
      <c r="R38" t="str">
        <v/>
      </c>
      <c r="S38" t="str">
        <v/>
      </c>
    </row>
    <row r="39">
      <c r="A39" t="str">
        <v>ZZ07571</v>
      </c>
      <c r="B39" t="str">
        <v>Electrical</v>
      </c>
      <c r="C39" t="str">
        <v>Power_Distribution</v>
      </c>
      <c r="D39" t="str">
        <v>Circuit_Breakers</v>
      </c>
      <c r="E39" t="str">
        <v>RCBO</v>
      </c>
      <c r="F39" t="str">
        <v>RCBO Four Pole 100 mA 40A</v>
      </c>
      <c r="G39" t="str">
        <v>Premium RCBO Four Pole 100 mA 40A by Havells, a top‑quality Circuit_Breakers offering sleek design and reliable performance.</v>
      </c>
      <c r="H39" t="str">
        <v>Havells</v>
      </c>
      <c r="I39" t="str">
        <v>https://res.cloudinary.com/dthi2vgiz/image/upload/v1777975686/1000082480_large-Photoroom_wxd9fx.png</v>
      </c>
      <c r="J39" t="str">
        <v>7498.99</v>
      </c>
      <c r="K39" t="str">
        <v>rcbo-four-pole-100-ma-40a</v>
      </c>
      <c r="L39" t="str">
        <v>Havells RCBO Four Pole 100 mA 40A – Premium Circuit_Breakers</v>
      </c>
      <c r="M39" t="str">
        <v>RCBO Four Pole 100 mA 40A by Havells: SEO‑friendly, high‑performance Circuit_Breakers for modern installations.</v>
      </c>
      <c r="O39" t="str">
        <v>40A</v>
      </c>
      <c r="P39" t="str">
        <v>false</v>
      </c>
      <c r="Q39" t="str">
        <v/>
      </c>
      <c r="R39" t="str">
        <v/>
      </c>
      <c r="S39" t="str">
        <v/>
      </c>
    </row>
    <row r="40">
      <c r="A40" t="str">
        <v>ZZ07457</v>
      </c>
      <c r="B40" t="str">
        <v>Electrical</v>
      </c>
      <c r="C40" t="str">
        <v>Fans</v>
      </c>
      <c r="D40" t="str">
        <v>Exhaust_Fans</v>
      </c>
      <c r="E40" t="str">
        <v/>
      </c>
      <c r="F40" t="str">
        <v>VENTO AXIAL 8" EXHAUST FAN</v>
      </c>
      <c r="G40" t="str">
        <v>Premium VENTO AXIAL 8" EXHAUST FAN by RR SIGNATURE, a top‑quality Exhaust_Fans offering sleek design and reliable performance. Key features include: Blade Size: 100 mm; High Air Delivery Output: 105 CMH; Speed: 2200 RPM;Product Dimensions: 5.90 inches x 5.90 inches x 1.33 inches; Cut-out Size - Circle Diameter 111 mm, White Design: Stylish design that matches spaces such as kitchen and keeps your home cool;Blade: Plastic blades that offer better air delivery Power Consumption: 18 watts; Operating Voltage: 220V - 240V, Number of Blades: 5;Operation: Smooth noiseless operation, best to use in AC cabins &amp; conference rooms Included in the Box: Luminous Vento Axial 100mm, Warranty Card and an Installation guide Mounting Type: Wall Mount; Controller Type: Button Control.</v>
      </c>
      <c r="H40" t="str">
        <v>RR SIGNATURE</v>
      </c>
      <c r="I40" t="str">
        <v>https://res.cloudinary.com/dthi2vgiz/image/upload/v1777976681/ELE_EXH_533517568_1750150781726-Picsart-BackgroundRemover_quirdl.png,https://res.cloudinary.com/dthi2vgiz/image/upload/v1777976699/ELE.EXH.533517568_1750150782708_wjlvzw.webp,https://res.cloudinary.com/dthi2vgiz/image/upload/v1777976699/ELE.EXH.533517568_1750150782546_o5en4t.webp,https://res.cloudinary.com/dthi2vgiz/image/upload/v1777976699/ELE.EXH.533517568_1750150782394_kmiimc.webp,https://res.cloudinary.com/dthi2vgiz/image/upload/v1777976700/ELE.EXH.533517568_1750150782177_cmhu2h.webp,https://res.cloudinary.com/dthi2vgiz/image/upload/v1777976701/ELE.EXH.533517568_1750150781997_w2kn1i.webp</v>
      </c>
      <c r="J40" t="str">
        <v>1739.99</v>
      </c>
      <c r="K40" t="str">
        <v>vento-axial-8-exhaust-fan</v>
      </c>
      <c r="L40" t="str">
        <v>RR SIGNATURE VENTO AXIAL 8" EXHAUST FAN – Premium Exhaust_Fans</v>
      </c>
      <c r="M40" t="str">
        <v>VENTO AXIAL 8" EXHAUST FAN by RR SIGNATURE: SEO‑friendly, high‑performance Exhaust_Fans for modern installations.</v>
      </c>
      <c r="O40" t="str">
        <v>WHITE</v>
      </c>
      <c r="P40" t="str">
        <v>false</v>
      </c>
      <c r="Q40" t="str">
        <v/>
      </c>
      <c r="R40" t="str">
        <v/>
      </c>
      <c r="S40" t="str">
        <v/>
      </c>
    </row>
    <row r="41">
      <c r="A41" t="str">
        <v>ZZ04283</v>
      </c>
      <c r="B41" t="str">
        <v>Electrical</v>
      </c>
      <c r="C41" t="str">
        <v>Fans</v>
      </c>
      <c r="D41" t="str">
        <v>Exhaust_Fans</v>
      </c>
      <c r="E41" t="str">
        <v>EXHAUST FAN</v>
      </c>
      <c r="F41" t="str">
        <v xml:space="preserve">VENTILAIR DSP STEEL 300MM </v>
      </c>
      <c r="G41" t="str">
        <v>Elevate air quality with the Havells VENTILAIR DSP STEEL 300MM Exhaust Fan. Boasting a Choco Brown finish and robust Aluminum body, this single-phase, 50W fan features 3 specially designed metal blades, delivering 900 m3/Hr air at 1350 RPM. Its 300 mm sweep diameter and sturdy steel bird guard ensure efficient, safe ventilation. Perfect for bathrooms or industries. Discover superior air purity!</v>
      </c>
      <c r="H41" t="str">
        <v>Havells</v>
      </c>
      <c r="I41" t="str">
        <v>https://res.cloudinary.com/dthi2vgiz/image/upload/v1777978323/ventilair-dsp-300-havells-original-imagzec9gbrzer9g_1_ehidnv.webp</v>
      </c>
      <c r="J41" t="str">
        <v>2559.99</v>
      </c>
      <c r="K41" t="str">
        <v>ventilair-dsp-steel-300mm</v>
      </c>
      <c r="L41" t="str">
        <v>Havells VENTILAIR DSP STEEL 300MM Exhaust Fan</v>
      </c>
      <c r="M41" t="str">
        <v>Havells VENTILAIR DSP STEEL 300MM exhaust fan. Choco Brown, 300mm sweep, 900 m3/Hr air delivery. 50W, single-phase, metal blades &amp; bird guard. Ideal for bathrooms &amp; industries. Enhance air quality.</v>
      </c>
      <c r="O41" t="str">
        <v>CHOCO BROWN</v>
      </c>
      <c r="P41" t="str">
        <v>false</v>
      </c>
      <c r="Q41" t="str">
        <v/>
      </c>
      <c r="R41" t="str">
        <v/>
      </c>
      <c r="S41" t="str">
        <v/>
      </c>
    </row>
    <row r="42">
      <c r="A42" t="str">
        <v>ZZ04287</v>
      </c>
      <c r="B42" t="str">
        <v>Electrical</v>
      </c>
      <c r="C42" t="str">
        <v>Fans</v>
      </c>
      <c r="D42" t="str">
        <v>Exhaust_Fans</v>
      </c>
      <c r="E42" t="str">
        <v/>
      </c>
      <c r="F42" t="str">
        <v>VENTILAIR DX HIGH SPEED 200 mm</v>
      </c>
      <c r="G42" t="str">
        <v>Premium VENTILAIR DX HIGH SPEED 200 mm by Havells, a top‑quality Exhaust_Fans offering sleek design and reliable performance. Key features include: Model Name VENTILAIR DX - HIGH SPEED Shade White Sweep Diameter 200 mm Fan Speed 1350 RPM Minimum Air Delivery 520 m3/min Color White Material Plastic Phase Single-phase Power Consumption 65 W Suitable For Kitchen, Bathroom Number of Blades 5.</v>
      </c>
      <c r="H42" t="str">
        <v>Havells</v>
      </c>
      <c r="I42" t="str">
        <v>https://res.cloudinary.com/dthi2vgiz/image/upload/v1777978930/ventilair-dx-high-speed-65-1-exhaust-fan-200-havells-original-imaghnnehfx6nkae_gcjd4t.webp</v>
      </c>
      <c r="J42" t="str">
        <v>2970</v>
      </c>
      <c r="K42" t="str">
        <v>ventilair-dx-high-speed-200-mm</v>
      </c>
      <c r="L42" t="str">
        <v>Havells VENTILAIR DX HIGH SPEED 200 mm – Premium Exhaust_Fans</v>
      </c>
      <c r="M42" t="str">
        <v>VENTILAIR DX HIGH SPEED 200 mm by Havells: SEO‑friendly, high‑performance Exhaust_Fans for modern installations.</v>
      </c>
      <c r="O42" t="str">
        <v>WHITE</v>
      </c>
      <c r="P42" t="str">
        <v>false</v>
      </c>
      <c r="Q42" t="str">
        <v/>
      </c>
      <c r="R42" t="str">
        <v/>
      </c>
      <c r="S42" t="str">
        <v/>
      </c>
    </row>
    <row r="43">
      <c r="A43" t="str">
        <v>ZZ07017</v>
      </c>
      <c r="B43" t="str">
        <v>Electrical</v>
      </c>
      <c r="C43" t="str">
        <v>Fans</v>
      </c>
      <c r="D43" t="str">
        <v>Pedestal_Fans</v>
      </c>
      <c r="E43" t="str">
        <v/>
      </c>
      <c r="F43" t="str">
        <v>SPEEDMAX HS PEDESTAL FAN</v>
      </c>
      <c r="G43" t="str">
        <v>Elevate your comfort with the RR SIGNATURE SPEEDMAX HS PEDESTAL FAN. Engineered with a Hi-Speed 2300 RPM Strong Motor, its Aerodynamic Blade delivers 100 CMM airflow via a 400 (16)mm Sweep. Enjoy efficient cooling in any room. Features include Thermal Overload Protection, an easy Electric Switch, and wide Oscillation. At 120 Watt, it’s powerful and reliable. Upgrade your space today.</v>
      </c>
      <c r="H43" t="str">
        <v>RR SIGNATURE</v>
      </c>
      <c r="I43" t="str">
        <v>https://res.cloudinary.com/dthi2vgiz/image/upload/v1778069168/SPEEDMAX-HS-PEDESTAL-FAN-feature_1_drx0wm.png</v>
      </c>
      <c r="J43" t="str">
        <v>4600</v>
      </c>
      <c r="K43" t="str">
        <v>speedmax-hs-pedestal-fan</v>
      </c>
      <c r="L43" t="str">
        <v>RR SIGNATURE SPEEDMAX HS Pedestal Fan | High-Speed Cooling</v>
      </c>
      <c r="M43" t="str">
        <v>Experience powerful cooling with RR SIGNATURE SPEEDMAX HS Pedestal Fan. Features a Hi-Speed 2300 RPM motor, 400mm Aerodynamic Blade, Oscillation, &amp; Thermal Protection. Get 100 CMM airflow.</v>
      </c>
      <c r="O43" t="str">
        <v>White 400mm</v>
      </c>
      <c r="P43" t="str">
        <v>false</v>
      </c>
      <c r="Q43" t="str">
        <v/>
      </c>
      <c r="R43" t="str">
        <v/>
      </c>
      <c r="S43" t="str">
        <v/>
      </c>
    </row>
    <row r="44">
      <c r="A44" t="str">
        <v>ZZ03476</v>
      </c>
      <c r="B44" t="str">
        <v>Electrical</v>
      </c>
      <c r="C44" t="str">
        <v>Fans</v>
      </c>
      <c r="D44" t="str">
        <v>Table_Fans</v>
      </c>
      <c r="E44" t="str">
        <v/>
      </c>
      <c r="F44" t="str">
        <v>Crompton Hiflo Wave Plus Table Fan</v>
      </c>
      <c r="G44" t="str">
        <v>Experience superior air circulation with the Crompton Hiflo Wave Plus Table Fan. A top choice among Pedestal_Fans, it features a sleek glossy finish, delivering a robust 85 cmm airflow thanks to its durable 400 Millimetre PP blades. Operating at 230V with just 60 Wattage, it's perfect for Office, Cabins, or your Living room. The 1 Unit includes motor, guard set, base, and warranty card. Discover refreshing comfort.</v>
      </c>
      <c r="H44" t="str">
        <v>Crompton</v>
      </c>
      <c r="I44" t="str">
        <v>https://res.cloudinary.com/dthi2vgiz/image/upload/v1778069670/Untitled-1_bd5789e8-76cd-406f-8875-d074f5d8103b_g1ylvq.webp, https://res.cloudinary.com/dthi2vgiz/image/upload/v1778069728/Artboard4_66_1_qtdv3y.webp, https://res.cloudinary.com/dthi2vgiz/image/upload/v1778069728/Artboard3_84_1_agrqb0.webp, https://res.cloudinary.com/dthi2vgiz/image/upload/v1778069730/Artboard2-2023-07-31T144916.376_1_srtrnd.webp, https://res.cloudinary.com/dthi2vgiz/image/upload/v1778069737/Artboard1_94_1_iitvl6.webp</v>
      </c>
      <c r="J44" t="str">
        <v>3149</v>
      </c>
      <c r="K44" t="str">
        <v>crompton-hiflo-wave-plus-table-fan</v>
      </c>
      <c r="L44" t="str">
        <v>Crompton Hiflo Wave Plus Table Fan | Pedestal Fan</v>
      </c>
      <c r="M44" t="str">
        <v>Get refreshing air circulation with Crompton Hiflo Wave Plus Table Fan. Features 60W, 230V, 85 cmm airflow, glossy finish &amp; 400mm PP blades. Ideal for Office, Cabins &amp; Living room.</v>
      </c>
      <c r="O44" t="str">
        <v>powder blue</v>
      </c>
      <c r="P44" t="str">
        <v>false</v>
      </c>
      <c r="Q44" t="str">
        <v/>
      </c>
      <c r="R44" t="str">
        <v/>
      </c>
      <c r="S44" t="str">
        <v>[{"variant_id":"Brown gold","price":3149,"part_no":"zz03476","sku":"","images":["https://res.cloudinary.com/dthi2vgiz/image/upload/v1778069941/HighFloWavePLusTableFan400mm_chocobrown__5thangle_u0uure.webp","https://res.cloudinary.com/dthi2vgiz/image/upload/v1778069953/wavepluspl4_1_dwif3g.webp"]}]</v>
      </c>
    </row>
    <row r="45">
      <c r="A45" t="str">
        <v>ZZ06337</v>
      </c>
      <c r="B45" t="str">
        <v>Electrical</v>
      </c>
      <c r="C45" t="str">
        <v>Fans</v>
      </c>
      <c r="D45" t="str">
        <v>Wall_Fans</v>
      </c>
      <c r="E45" t="str">
        <v>Wall Fan</v>
      </c>
      <c r="F45" t="str">
        <v>Havells Aindrila 400mm Dark blue Grey Wall Fan</v>
      </c>
      <c r="G45" t="str">
        <v>Experience superior airflow with the Havells Aindrila 400mm Dark blue Grey Wall Fan. Perfect for any room, its powerful and durable 100% Copper wire Induction Motor ensures lasting performance. Featuring a sleek Dark blue Grey finish (motor housing in Brown Black for distinction), this Wall Fan blends seamlessly. Enjoy cool comfort backed by a 2 Year Guarantee. Elevate your space today!</v>
      </c>
      <c r="H45" t="str">
        <v>Havells</v>
      </c>
      <c r="I45" t="str">
        <v>https://res.cloudinary.com/dthi2vgiz/image/upload/v1778070309/wf-FHWAGPMDBG16_shvhe9.jpg</v>
      </c>
      <c r="J45" t="str">
        <v>6930</v>
      </c>
      <c r="K45" t="str">
        <v>havells-aindrila-400mm-dark-blue-grey-wall-fan</v>
      </c>
      <c r="L45" t="str">
        <v>Havells Aindrila 400mm Dark blue Grey Wall Fan</v>
      </c>
      <c r="M45" t="str">
        <v>Get powerful cooling with the Havells Aindrila 400mm Dark blue Grey Wall Fan. Features 100% Copper wire Induction Motor, sleek design &amp; 2 Year Guarantee. Ideal for any modern home.</v>
      </c>
      <c r="O45" t="str">
        <v>Blue Grey</v>
      </c>
      <c r="P45" t="str">
        <v>false</v>
      </c>
      <c r="Q45" t="str">
        <v/>
      </c>
      <c r="R45" t="str">
        <v/>
      </c>
      <c r="S45" t="str">
        <v/>
      </c>
    </row>
    <row r="46">
      <c r="A46" t="str">
        <v>ZZ03477</v>
      </c>
      <c r="B46" t="str">
        <v>Electrical</v>
      </c>
      <c r="C46" t="str">
        <v>Fans</v>
      </c>
      <c r="D46" t="str">
        <v>Wall_Fans</v>
      </c>
      <c r="E46" t="str">
        <v/>
      </c>
      <c r="F46" t="str">
        <v>Crompton Hiflo Wave Plus Wall Mounted Fan</v>
      </c>
      <c r="G46" t="str">
        <v>The Crompton Hiflo Wave Plus Wall Mounted Fan offers powerful, focused cooling. Its sleek, Pearl White finish seamlessly blends with any modern decor. Ideal for kitchens, bedrooms, or compact offices where space is at a premium. Elevate your comfort and discover effortless air circulation.</v>
      </c>
      <c r="H46" t="str">
        <v>Crompton</v>
      </c>
      <c r="I46" t="str">
        <v>https://res.cloudinary.com/dthi2vgiz/image/upload/v1778071127/WALLFANHIGHFLOWAVEPLUS__POWDERBLUE__1angle_1_vuzup2.webp,https://res.cloudinary.com/dthi2vgiz/image/upload/v1778071125/WavePlusPL1_2_3_lhfyh1.webp,https://res.cloudinary.com/dthi2vgiz/image/upload/v1778071121/WavePlusPL2_2_rcfqmr.webp,https://res.cloudinary.com/dthi2vgiz/image/upload/v1778071120/WavePlusPL3_2_2_p0b6zs.webp,https://res.cloudinary.com/dthi2vgiz/image/upload/v1778071119/WavePlusPL4_1_3_oabt3m.webp</v>
      </c>
      <c r="J46" t="str">
        <v>3699</v>
      </c>
      <c r="K46" t="str">
        <v>crompton-hiflo-wave-plus-wall-mounted-fan</v>
      </c>
      <c r="L46" t="str">
        <v>Crompton Hiflo Wave Plus Wall Fan | Premium Cooling</v>
      </c>
      <c r="M46" t="str">
        <v>Upgrade to the Crompton Hiflo Wave Plus Wall Mounted Fan. Enjoy powerful, space-saving cooling with a sleek design. Perfect for modern homes and offices. Experience efficient, quiet performance.</v>
      </c>
      <c r="O46" t="str">
        <v>Powder blue</v>
      </c>
      <c r="P46" t="str">
        <v>true</v>
      </c>
      <c r="Q46" t="str">
        <v/>
      </c>
      <c r="R46" t="str">
        <v/>
      </c>
      <c r="S46" t="str">
        <v>[{"variant_id":"KD WHITE","price":3699,"part_no":"zz03477","sku":"","images":["https://res.cloudinary.com/dthi2vgiz/image/upload/v1778071468/HighFloWavePLusWallFan400mm_KDWhite__1stangle_2_kfkjv3.webp","https://res.cloudinary.com/dthi2vgiz/image/upload/v1778071466/Wave-Plus-White-PL1-_1_1_fi2cbu.webp","https://res.cloudinary.com/dthi2vgiz/image/upload/v1778071466/Wave-Plus-White-PL3-_1_1_sbozqb.webp"]}]</v>
      </c>
    </row>
    <row r="47">
      <c r="A47" t="str">
        <v>ZZ06569</v>
      </c>
      <c r="B47" t="str">
        <v>Electrical</v>
      </c>
      <c r="C47" t="str">
        <v>Fans</v>
      </c>
      <c r="D47" t="str">
        <v>Pedestal_Fans</v>
      </c>
      <c r="E47" t="str">
        <v/>
      </c>
      <c r="F47" t="str">
        <v>V2 Ultra Pedestal Fan</v>
      </c>
      <c r="G47" t="str">
        <v>Premium V2 Ultra Pedestal Fan by Havells, a top‑quality Pedestal_Fans offering sleek design and reliable performance. Key features include: WideVolt™ Motor ensures reliable operation across wide voltage range (150 V – 265 V) Aerodynamic Metal Blade engineered for powerful airflow Adjustable Neck Indexing offers smooth up-and-down tilt for personalized comfort 3-Speed Rotary Switch Control for convenience Guarantee : 2 Year.</v>
      </c>
      <c r="H47" t="str">
        <v>Havells</v>
      </c>
      <c r="I47" t="str">
        <v>https://res.cloudinary.com/dthi2vgiz/image/upload/v1778078421/fhsveulmbl18_m_ej874y.webp</v>
      </c>
      <c r="J47" t="str">
        <v>6290</v>
      </c>
      <c r="K47" t="str">
        <v>v2-ultra-pedestal-fan</v>
      </c>
      <c r="L47" t="str">
        <v>Havells V2 Ultra Pedestal Fan – Premium Pedestal_Fans</v>
      </c>
      <c r="M47" t="str">
        <v>V2 Ultra Pedestal Fan by Havells: SEO‑friendly, high‑performance Pedestal_Fans for modern installations.</v>
      </c>
      <c r="O47" t="str">
        <v>Matt Black 450mm</v>
      </c>
      <c r="P47" t="str">
        <v>false</v>
      </c>
      <c r="Q47" t="str">
        <v/>
      </c>
      <c r="R47" t="str">
        <v/>
      </c>
      <c r="S47" t="str">
        <v/>
      </c>
    </row>
    <row r="48">
      <c r="A48" t="str">
        <v>ZZ07096</v>
      </c>
      <c r="B48" t="str">
        <v>Electrical</v>
      </c>
      <c r="C48" t="str">
        <v>Fans</v>
      </c>
      <c r="D48" t="str">
        <v>Pedestal_Fans</v>
      </c>
      <c r="E48" t="str">
        <v/>
      </c>
      <c r="F48" t="str">
        <v>Arcline Cyclone Pedestal Fan</v>
      </c>
      <c r="G48" t="str">
        <v>Experience powerful, directed cooling with the Arcline Cyclone Pedestal Fan. This High Speed 2400 RPM Pedestal Fan features a 16 Inches/400 MM sweep and X-Flow Technology for superior air delivery. Enjoy customizable comfort with its Adjustable Height, perfect for any home or office space. Built for reliability, it comes with a 1 Year Warranty. Elevate your comfort today.</v>
      </c>
      <c r="H48" t="str">
        <v>Arcline</v>
      </c>
      <c r="I48" t="str">
        <v>https://res.cloudinary.com/dthi2vgiz/image/upload/v1778079124/41jNCvHiz-L_nfmjuc.jpg, https://res.cloudinary.com/dthi2vgiz/image/upload/v1778078724/41dzNASzFML_jzwepq.jpg, https://res.cloudinary.com/dthi2vgiz/image/upload/v1778078798/41-qRqAHGOL_dtxcit.jpg, https://res.cloudinary.com/dthi2vgiz/image/upload/v1778078801/21ov8PvHHQL_up9iw8.jpg, https://res.cloudinary.com/dthi2vgiz/image/upload/v1778078802/41PRT530iqL_tmwoe6.jpg</v>
      </c>
      <c r="J48" t="str">
        <v>3999</v>
      </c>
      <c r="K48" t="str">
        <v>arcline-cyclone-pedestal-fan</v>
      </c>
      <c r="L48" t="str">
        <v>Arcline Cyclone Pedestal Fan | High Speed Cooling</v>
      </c>
      <c r="M48" t="str">
        <v>Get powerful cooling with the Arcline Cyclone Pedestal Fan. High Speed 2400 RPM, 16 Inches, Adjustable Height &amp; X-Flow Technology. Perfect for home/office. 1 Year Warranty. Shop now!</v>
      </c>
      <c r="O48" t="str">
        <v>Black 400mm</v>
      </c>
      <c r="P48" t="str">
        <v>false</v>
      </c>
      <c r="Q48" t="str">
        <v/>
      </c>
      <c r="R48" t="str">
        <v/>
      </c>
      <c r="S48" t="str">
        <v/>
      </c>
    </row>
    <row r="49">
      <c r="A49" t="str">
        <v>ZZ03734</v>
      </c>
      <c r="B49" t="str">
        <v>Electrical</v>
      </c>
      <c r="C49" t="str">
        <v>Fans</v>
      </c>
      <c r="D49" t="str">
        <v>Exhaust_Fans</v>
      </c>
      <c r="E49" t="str">
        <v/>
      </c>
      <c r="F49" t="str">
        <v>ORIENT SMART AIR SILENT EXHAUST FAN</v>
      </c>
      <c r="G49" t="str">
        <v>Premium ORIENT SMART AIR SILENT EXHAUST FAN by ORIENT, a top‑quality Exhaust_Fans offering sleek design and reliable performance. Key features include: 2 Year Warranty Silent Operation 150 mm Power Requirement 230V, 50Hz 230V, 50Hz Power Consumption 22 W 22 W Blade Material Plastic Plastic Net Quantity 1 1 Motor Speed 2000 2000 Design Type Economy Economy Type Exhaust Fan Exhaust Fan BEE Star Rating NA NA Body Material Plastic Plastic Color Ivory Ivory Additional Features Feature Silent Operation Silent Operation Key Features Super efficient motor for better suction with clean and odorless air, In-built front grill, Detachable front grill for easy cleaning, Unique &amp; sleek design adds elegance to the decor Super efficient motor for better suction with clean and odorless air, In-built front grill, Detachable front grill for easy cleaning, Unique &amp; sleek design adds elegance to the decor Other Features Aerodynamically Designed Resin Blades, Rust Free Aerodynamically Designed Resin Blades, Rust Free Dimensions Box Height 18.5 cm 18.5 cm Box Length 20 cm 20 cm Box Width 11 cm 11 cm Weight 0.71 kg 0.71 kg Product Details Suitable For Factory, Bathroom Factory, Bathroom Finish Matte Matte Blade Sweep 150 mm 150 mm Airflow 142 CFM 142 CFM Other Power Features 150mm Sweep, in built front grill 150mm Sweep, in built front grill Other Body and Design Features Unique Design, Silent Operation Unique Design, Silent Operation Number of Speed Settings 0 0.</v>
      </c>
      <c r="H49" t="str">
        <v>ORIENT</v>
      </c>
      <c r="I49" t="str">
        <v>https://res.cloudinary.com/dthi2vgiz/image/upload/v1778151379/smart-air-basic-22-1-induction-exhaust-fan-150-orient-electric-original-imahjb9ag6k4snfs-Photoroom_kobwdm.png,https://res.cloudinary.com/dthi2vgiz/image/upload/v1778151344/smart-air-basic-22-1-induction-exhaust-fan-150-orient-electric-original-imahjb9asznar57h-Picsart-BackgroundRemover_hrzt3l.png,https://res.cloudinary.com/dthi2vgiz/image/upload/v1778151180/smart-air-basic-22-1-induction-exhaust-fan-150-orient-electric-original-imahjb9aanxmyykf_rgg0n2.webp,https://res.cloudinary.com/dthi2vgiz/image/upload/v1778151179/smart-air-basic-22-1-induction-exhaust-fan-150-orient-electric-original-imahjb9avwzurezd_vwila6.webp,https://res.cloudinary.com/dthi2vgiz/image/upload/v1778151179/smart-air-basic-22-1-induction-exhaust-fan-150-orient-electric-original-imahjb9aq9g3dydx_x4b3fu.webp,https://res.cloudinary.com/dthi2vgiz/image/upload/v1778151179/smart-air-basic-22-1-induction-exhaust-fan-150-orient-electric-original-imahjb9afbd7mukf_jstxtp.webp</v>
      </c>
      <c r="J49" t="str">
        <v>1754.99</v>
      </c>
      <c r="K49" t="str">
        <v>orient-smart-air-silent-exhaust-fan</v>
      </c>
      <c r="L49" t="str">
        <v>ORIENT ORIENT SMART AIR SILENT EXHAUST FAN – Premium Exhaust_Fans</v>
      </c>
      <c r="M49" t="str">
        <v>ORIENT SMART AIR SILENT EXHAUST FAN by ORIENT: SEO‑friendly, high‑performance Exhaust_Fans for modern installations.</v>
      </c>
      <c r="O49" t="str">
        <v>WHITE 150MM</v>
      </c>
      <c r="P49" t="str">
        <v>false</v>
      </c>
      <c r="Q49" t="str">
        <v/>
      </c>
      <c r="R49" t="str">
        <v/>
      </c>
      <c r="S49" t="str">
        <v>[{"variant_id":"100MM","price":1755,"part_no":"ZZ03733","sku":"","images":["https://res.cloudinary.com/dthi2vgiz/image/upload/v1778151379/smart-air-basic-22-1-induction-exhaust-fan-150-orient-electric-original-imahjb9ag6k4snfs-Photoroom_kobwdm.png","https://res.cloudinary.com/dthi2vgiz/image/upload/v1778151344/smart-air-basic-22-1-induction-exhaust-fan-150-orient-electric-original-imahjb9asznar57h-Picsart-BackgroundRemover_hrzt3l.png","https://res.cloudinary.com/dthi2vgiz/image/upload/v1778151180/smart-air-basic-22-1-induction-exhaust-fan-150-orient-electric-original-imahjb9aanxmyykf_rgg0n2.webp","https://res.cloudinary.com/dthi2vgiz/image/upload/v1778151179/smart-air-basic-22-1-induction-exhaust-fan-150-orient-electric-original-imahjb9avwzurezd_vwila6.webp","https://res.cloudinary.com/dthi2vgiz/image/upload/v1778151179/smart-air-basic-22-1-induction-exhaust-fan-150-orient-electric-original-imahjb9aq9g3dydx_x4b3fu.webp","https://res.cloudinary.com/dthi2vgiz/image/upload/v1778151179/smart-air-basic-22-1-induction-exhaust-fan-150-orient-electric-original-imahjb9afbd7mukf_jstxtp.webp"]}]</v>
      </c>
    </row>
    <row r="50">
      <c r="A50" t="str">
        <v>ZZ06576</v>
      </c>
      <c r="B50" t="str">
        <v>Electrical</v>
      </c>
      <c r="C50" t="str">
        <v>Fans</v>
      </c>
      <c r="D50" t="str">
        <v>Table_Fans</v>
      </c>
      <c r="E50" t="str">
        <v/>
      </c>
      <c r="F50" t="str">
        <v>REMI MULTIPURPOSE FAN WALL/TABLE</v>
      </c>
      <c r="G50" t="str">
        <v>Elevate your air quality with the REMI MULTIPURPOSE FAN WALL/TABLE. This robust Exhaust Fan, crafted from durable Material Metal, offers powerful and efficient ventilation for any space. Its versatile design allows for seamless wall or table mounting, making it perfect for kitchens, workshops, or utility rooms needing superior air circulation. Experience enduring performance and a cleaner atmosphere. Discover the REMI difference today.</v>
      </c>
      <c r="H50" t="str">
        <v>REMI</v>
      </c>
      <c r="I50" t="str">
        <v>https://res.cloudinary.com/dthi2vgiz/image/upload/v1778152591/multipurpose-fan-mpf-Photoroom_t38mbl.png, https://res.cloudinary.com/dthi2vgiz/image/upload/v1778152964/71AJRJMMATL._SX569__my69fs.jpg</v>
      </c>
      <c r="J50" t="str">
        <v>2315</v>
      </c>
      <c r="K50" t="str">
        <v>remi-multipurpose-fan-walltable</v>
      </c>
      <c r="L50" t="str">
        <v>REMI MULTIPURPOSE FAN WALL/TABLE | Exhaust Fan</v>
      </c>
      <c r="M50" t="str">
        <v>Upgrade your air with the REMI MULTIPURPOSE FAN WALL/TABLE. Durable Material Metal construction ensures powerful exhaust ventilation. Perfect for wall or table mount in kitchens, workshops &amp; more. Shop REMI.</v>
      </c>
      <c r="O50" t="str">
        <v>225MM</v>
      </c>
      <c r="P50" t="str">
        <v>false</v>
      </c>
      <c r="Q50" t="str">
        <v/>
      </c>
      <c r="R50" t="str">
        <v/>
      </c>
      <c r="S50" t="str">
        <v/>
      </c>
    </row>
    <row r="51">
      <c r="A51" t="str">
        <v>ZZ03478</v>
      </c>
      <c r="B51" t="str">
        <v>Electrical</v>
      </c>
      <c r="C51" t="str">
        <v>Fans</v>
      </c>
      <c r="D51" t="str">
        <v>Ceiling_Fans</v>
      </c>
      <c r="E51" t="str">
        <v/>
      </c>
      <c r="F51" t="str">
        <v>CROMPTON HIGHSPEED 1200MM FAN</v>
      </c>
      <c r="G51" t="str">
        <v>Experience unmatched comfort with the Crompton High Speed HS fan. This premium Ceiling Fan delivers superior, high-speed cooling thanks to its Powerful Airflow. Long-Lasting: Double ball bearings for enhanced durability. Always Looks New: Anti-rust feature ensures a lasting shine. Ideal for homes and offices seeking consistent comfort and style. Guaranteed Quality: Comes with a reassuring 2-year warranty. Discover lasting coolness and elegance.</v>
      </c>
      <c r="H51" t="str">
        <v>Crompton</v>
      </c>
      <c r="I51" t="str">
        <v>https://res.cloudinary.com/dthi2vgiz/image/upload/v1778153736/a7123c_cd3a8254bee14e419a8f4b464b513baf_mv2_bvl4ra.avif</v>
      </c>
      <c r="J51" t="str">
        <v>3519</v>
      </c>
      <c r="K51" t="str">
        <v>crompton-highspeed-1200mm-fan</v>
      </c>
      <c r="L51" t="str">
        <v>Crompton High Speed HS Ceiling Fan - 1200mm</v>
      </c>
      <c r="M51" t="str">
        <v>Experience unmatched comfort with Crompton High Speed HS Ceiling Fan. Enjoy powerful, high-speed cooling, enhanced durability from double ball bearings, and a lasting anti-rust shine. 2-year warranty included.</v>
      </c>
      <c r="O51" t="str">
        <v>BROWN 1200MM</v>
      </c>
      <c r="P51" t="str">
        <v>false</v>
      </c>
      <c r="Q51" t="str">
        <v/>
      </c>
      <c r="R51" t="str">
        <v/>
      </c>
      <c r="S51" t="str">
        <v>[{"variant_id":"OPAL WHITE","price":3519,"part_no":"ZZ03478","sku":"","images":["https://res.cloudinary.com/dthi2vgiz/image/upload/v1778153981/21M2HK9MdxL-Picsart-BackgroundRemover_rtkwsz.png"]}]</v>
      </c>
    </row>
    <row r="52">
      <c r="A52" t="str">
        <v>ZZ06494</v>
      </c>
      <c r="B52" t="str">
        <v>Electrical</v>
      </c>
      <c r="C52" t="str">
        <v>Fans</v>
      </c>
      <c r="D52" t="str">
        <v>Ceiling_Fans</v>
      </c>
      <c r="E52" t="str">
        <v/>
      </c>
      <c r="F52" t="str">
        <v>RAPID DECO 600MM FAN</v>
      </c>
      <c r="G52" t="str">
        <v>Elevate your home's ambiance with the Luminous RAPID DECO 600MM FAN. This stylish ceiling fan, designed for modern living rooms or bedrooms, boasts an elegant finish. Enjoy powerful, consistent airflow thanks to its 100% COPPER MOTOR, reaching 850RPM. Built for durability, it comes with a 3YEARS WARRANTY. Discover the perfect blend of style and performance!</v>
      </c>
      <c r="H52" t="str">
        <v>Luminous</v>
      </c>
      <c r="I52" t="str">
        <v>https://res.cloudinary.com/dthi2vgiz/image/upload/v1778154251/31lqluPGXjL-Photoroom_fjrbtz.png</v>
      </c>
      <c r="J52" t="str">
        <v>2290.01</v>
      </c>
      <c r="K52" t="str">
        <v>rapid-deco-600mm-fan</v>
      </c>
      <c r="L52" t="str">
        <v>Luminous RAPID DECO 600MM FAN | Premium Ceiling Fan</v>
      </c>
      <c r="M52" t="str">
        <v>Experience superior comfort with the Luminous RAPID DECO 600MM ceiling fan. Features a 100% copper motor, 850RPM powerful airflow &amp; 3-year warranty. Perfect for any modern home.</v>
      </c>
      <c r="O52" t="str">
        <v>CHERRY RED 600MM</v>
      </c>
      <c r="P52" t="str">
        <v>false</v>
      </c>
      <c r="Q52" t="str">
        <v/>
      </c>
      <c r="R52" t="str">
        <v/>
      </c>
      <c r="S52" t="str">
        <v/>
      </c>
    </row>
    <row r="53">
      <c r="A53" t="str">
        <v>ZZ08204</v>
      </c>
      <c r="B53" t="str">
        <v>Electrical</v>
      </c>
      <c r="C53" t="str">
        <v>Fans</v>
      </c>
      <c r="D53" t="str">
        <v>Ceiling_Fans</v>
      </c>
      <c r="E53" t="str">
        <v/>
      </c>
      <c r="F53" t="str">
        <v>TIGER 600mm FAN</v>
      </c>
      <c r="G53" t="str">
        <v>Experience unparalleled comfort with the RR SIGNATURE TIGER 600mm FAN. This premium ceiling fan, in a sleek matte black finish, offers powerful, whisper-quiet air circulation. Ideal for enhancing small to medium rooms, its minimalist design complements any modern interior. Elevate your living space effortlessly.</v>
      </c>
      <c r="H53" t="str">
        <v>RR SIGNATURE</v>
      </c>
      <c r="I53" t="str">
        <v>https://res.cloudinary.com/dthi2vgiz/image/upload/v1778155022/shopping_1_-Photoroom_c3bo9s.png,https://res.cloudinary.com/dthi2vgiz/image/upload/v1778155098/71WKBivpzdL._SL1500__rt5iif.jpg</v>
      </c>
      <c r="J53" t="str">
        <v>2540</v>
      </c>
      <c r="K53" t="str">
        <v>tiger-600mm-fan</v>
      </c>
      <c r="L53" t="str">
        <v>RR SIGNATURE TIGER 600mm Fan | Premium Ceiling Fan</v>
      </c>
      <c r="M53" t="str">
        <v>Upgrade to the RR SIGNATURE TIGER 600mm Ceiling Fan. Experience powerful, quiet cooling with a sleek matte black finish. Perfect for modern homes. Shop premium ceiling fans now!</v>
      </c>
      <c r="O53" t="str">
        <v>Brown 600mm</v>
      </c>
      <c r="P53" t="str">
        <v>false</v>
      </c>
      <c r="Q53" t="str">
        <v/>
      </c>
      <c r="R53" t="str">
        <v/>
      </c>
      <c r="S53" t="str">
        <v/>
      </c>
    </row>
    <row r="54">
      <c r="A54" t="str">
        <v>ZZ03479</v>
      </c>
      <c r="B54" t="str">
        <v>Electrical</v>
      </c>
      <c r="C54" t="str">
        <v>Fans</v>
      </c>
      <c r="D54" t="str">
        <v>Ceiling_Fans</v>
      </c>
      <c r="E54" t="str">
        <v/>
      </c>
      <c r="F54" t="str">
        <v>CROMPTON  Highspeed 900MM FAN</v>
      </c>
      <c r="G54" t="str">
        <v>Experience superior comfort with the CROMPTON Highspeed 900MM FAN. Engineered for High Velocity air movement, its efficient design ensures powerful Air Circulation, perfect for any room. Operating at 290 RPM with a Wattage of just 60 Watts and 230 Volts, this reliable Ceiling Fan offers optimal performance and energy savings. Upgrade your space; discover perfect airflow today.</v>
      </c>
      <c r="H54" t="str">
        <v>Crompton</v>
      </c>
      <c r="I54" t="str">
        <v>https://res.cloudinary.com/dthi2vgiz/image/upload/v1778155318/900mm-brown-rally-hi-speed-ceiling-fan-1000x1000-Photoroom_amm9pt.png</v>
      </c>
      <c r="J54" t="str">
        <v>3519</v>
      </c>
      <c r="K54" t="str">
        <v>crompton-highspeed-900mm-fan</v>
      </c>
      <c r="L54" t="str">
        <v>Crompton Highspeed 900MM FAN - Superior Airflow</v>
      </c>
      <c r="M54" t="str">
        <v>Discover the Crompton Highspeed 900MM Ceiling Fan for powerful, energy-efficient air circulation. With High Velocity 290 RPM airflow &amp; 60W, 230V operation, it's ideal for any space.</v>
      </c>
      <c r="O54" t="str">
        <v>BROWN 900MM</v>
      </c>
      <c r="P54" t="str">
        <v>false</v>
      </c>
      <c r="Q54" t="str">
        <v/>
      </c>
      <c r="R54" t="str">
        <v/>
      </c>
      <c r="S54" t="str">
        <v/>
      </c>
    </row>
    <row r="55">
      <c r="A55" t="str">
        <v>ZZ02876</v>
      </c>
      <c r="B55" t="str">
        <v>Electrical</v>
      </c>
      <c r="C55" t="str">
        <v>Fans</v>
      </c>
      <c r="D55" t="str">
        <v>Ceiling_Fans</v>
      </c>
      <c r="E55" t="str">
        <v/>
      </c>
      <c r="F55" t="str">
        <v>KRAZE650 CEILING FAN 900MM</v>
      </c>
      <c r="G55" t="str">
        <v>Elevate your space with the RR SIGNATURE KRAZE650 CEILING FAN 900MM. Featuring a sleek, contemporary finish and efficient 900mm blades, it delivers powerful, quiet airflow. Ideal for modern bedrooms, home offices, or compact living areas. Experience superior comfort and style. Make the KRAZE yours.</v>
      </c>
      <c r="H55" t="str">
        <v>RR SIGNATURE</v>
      </c>
      <c r="I55" t="str">
        <v>https://res.cloudinary.com/dthi2vgiz/image/upload/v1778155667/ELE.CEI.333516396_1750150774363_1_-Photoroom_ueswlj.png</v>
      </c>
      <c r="J55" t="str">
        <v>2890</v>
      </c>
      <c r="K55" t="str">
        <v>kraze650-ceiling-fan-900mm</v>
      </c>
      <c r="L55" t="str">
        <v>RR SIGNATURE KRAZE650 Ceiling Fan | Modern Airflow</v>
      </c>
      <c r="M55" t="str">
        <v>Discover the RR SIGNATURE KRAZE650 900mm Ceiling Fan. Enjoy powerful, quiet airflow and a sleek finish, perfect for modern bedrooms &amp; offices. Enhance your comfort.</v>
      </c>
      <c r="O55" t="str">
        <v>BROWN 900MM</v>
      </c>
      <c r="P55" t="str">
        <v>false</v>
      </c>
      <c r="Q55" t="str">
        <v/>
      </c>
      <c r="R55" t="str">
        <v/>
      </c>
      <c r="S55" t="str">
        <v/>
      </c>
    </row>
    <row r="56">
      <c r="A56" t="str">
        <v>ZZ07170</v>
      </c>
      <c r="B56" t="str">
        <v>Electrical</v>
      </c>
      <c r="C56" t="str">
        <v>Fans</v>
      </c>
      <c r="D56" t="str">
        <v>Ceiling_Fans</v>
      </c>
      <c r="E56" t="str">
        <v/>
      </c>
      <c r="F56" t="str">
        <v>CELINO BROWN HIGH SPEED 600MM FAN</v>
      </c>
      <c r="G56" t="str">
        <v>Experience superior airflow with the Arcline CELINO BROWN HIGH SPEED 600MM FAN. This compact, elegant ceiling fan, finished in rich brown, delivers powerful, refreshing breezes. Perfect for smaller rooms, home offices, or cozy nooks, it blends seamlessly with modern decor. Discover efficient cooling and understated style. Elevate your space today.</v>
      </c>
      <c r="H56" t="str">
        <v>Arcline</v>
      </c>
      <c r="I56" t="str">
        <v>https://res.cloudinary.com/dthi2vgiz/image/upload/v1778156154/product-jpeg-1000x1000-Photoroom_jntm1d.png</v>
      </c>
      <c r="J56" t="str">
        <v>2750</v>
      </c>
      <c r="K56" t="str">
        <v>celino-brown-high-speed-600mm-fan</v>
      </c>
      <c r="L56" t="str">
        <v>Arcline CELINO BROWN HIGH SPEED 600MM Ceiling Fan</v>
      </c>
      <c r="M56" t="str">
        <v>Get powerful, compact cooling with the Arcline CELINO BROWN HIGH SPEED 600MM Fan. This stylish brown ceiling fan is ideal for small rooms, offering efficient airflow &amp; modern design. Shop now for your perfect home cooling solution!</v>
      </c>
      <c r="O56" t="str">
        <v>BROWN 600MM</v>
      </c>
      <c r="P56" t="str">
        <v>false</v>
      </c>
      <c r="Q56" t="str">
        <v/>
      </c>
      <c r="R56" t="str">
        <v/>
      </c>
      <c r="S56" t="str">
        <v/>
      </c>
    </row>
    <row r="57">
      <c r="A57" t="str">
        <v>ZZ08250</v>
      </c>
      <c r="B57" t="str">
        <v>Electrical</v>
      </c>
      <c r="C57" t="str">
        <v>Fans</v>
      </c>
      <c r="D57" t="str">
        <v>Ceiling_Fans</v>
      </c>
      <c r="E57" t="str">
        <v/>
      </c>
      <c r="F57" t="str">
        <v>VAAYU REO HIGHSPEED FAN</v>
      </c>
      <c r="G57" t="str">
        <v>Premium VAAYU REO HIGHSPEED FAN by Havells, a top‑quality Ceiling_Fans offering sleek design and reliable performance. Key features include: High Speed Low Power Consumption : 48 W High Air Delivery : 220 m³/min Strong &amp; Powerful motor Look: Simple and elegant design Star Rating: 1 Star Wider Blade for Wide Air Spread Revolution per minute: 370 r/min Long Life and Durable.</v>
      </c>
      <c r="H57" t="str">
        <v>Havells</v>
      </c>
      <c r="I57" t="str">
        <v>https://res.cloudinary.com/dthi2vgiz/image/upload/v1778156417/frcvye1brn48_main_1_bi6jah.webp</v>
      </c>
      <c r="J57" t="str">
        <v>1650</v>
      </c>
      <c r="K57" t="str">
        <v>vaayu-reo-highspeed-fan</v>
      </c>
      <c r="L57" t="str">
        <v>Havells VAAYU REO HIGHSPEED FAN – Premium Ceiling_Fans</v>
      </c>
      <c r="M57" t="str">
        <v>VAAYU REO HIGHSPEED FAN by Havells: SEO‑friendly, high‑performance Ceiling_Fans for modern installations.</v>
      </c>
      <c r="O57" t="str">
        <v>1200MM BROWN</v>
      </c>
      <c r="P57" t="str">
        <v>false</v>
      </c>
      <c r="Q57" t="str">
        <v/>
      </c>
      <c r="R57" t="str">
        <v/>
      </c>
      <c r="S57" t="str">
        <v/>
      </c>
    </row>
    <row r="58">
      <c r="A58" t="str">
        <v>ZZ04256</v>
      </c>
      <c r="B58" t="str">
        <v>Electrical</v>
      </c>
      <c r="C58" t="str">
        <v>Fans</v>
      </c>
      <c r="D58" t="str">
        <v>Ceiling_Fans</v>
      </c>
      <c r="E58" t="str">
        <v/>
      </c>
      <c r="F58" t="str">
        <v>NICOLA BRONZE COPPER 600MM FAN</v>
      </c>
      <c r="G58" t="str">
        <v>Experience elegant cooling with the Havells NICOLA BRONZE COPPER 600MM FAN. This compact ceiling fan features a stunning bronze copper finish, perfect for enhancing small rooms, studies, or cozy spaces. Its 600mm sweep ensures efficient air circulation, blending seamlessly with both modern and classic interiors. Elevate your comfort and style effortlessly. Discover the perfect ceiling fan for your home.</v>
      </c>
      <c r="H58" t="str">
        <v>Havells</v>
      </c>
      <c r="I58" t="str">
        <v>https://res.cloudinary.com/dthi2vgiz/image/upload/v1778156557/nicola-gold-small-ceiling-fan-446-Photoroom_uvllrb.png</v>
      </c>
      <c r="J58" t="str">
        <v>5860</v>
      </c>
      <c r="K58" t="str">
        <v>nicola-bronze-copper-600mm-fan</v>
      </c>
      <c r="L58" t="str">
        <v>Havells NICOLA Bronze Copper 600MM Ceiling Fan</v>
      </c>
      <c r="M58" t="str">
        <v>Discover the Havells NICOLA Bronze Copper 600MM Ceiling Fan. Ideal for small spaces, this elegant fan offers efficient cooling &amp; a stylish finish. Elevate your home.</v>
      </c>
      <c r="O58" t="str">
        <v>BRONZE COPPER 600MM</v>
      </c>
      <c r="P58" t="str">
        <v>false</v>
      </c>
      <c r="Q58" t="str">
        <v/>
      </c>
      <c r="R58" t="str">
        <v/>
      </c>
      <c r="S58" t="str">
        <v/>
      </c>
    </row>
    <row r="59">
      <c r="A59" t="str">
        <v>ZZ06673</v>
      </c>
      <c r="B59" t="str">
        <v>Plumbing</v>
      </c>
      <c r="C59" t="str">
        <v>Water_Pumps</v>
      </c>
      <c r="D59" t="str">
        <v>Booster_Pumps</v>
      </c>
      <c r="E59" t="str">
        <v/>
      </c>
      <c r="F59" t="str">
        <v>PERIBOOST 0.5Hp Pressure Pump</v>
      </c>
      <c r="G59" t="str">
        <v>Experience consistent water pressure with the KSB PERIBOOST 0.5Hp Pressure Pump. This sleek Blue, Thermal style Booster Pump is Corded Electric, delivering 2000 Liters Per Hour at 40 Volts (DC). Weighing just 3 Kilograms with durable Rubber construction, it's ideal for residential or light commercial water boosting. Elevate your water system – explore reliable performance today!</v>
      </c>
      <c r="H59" t="str">
        <v>KSB</v>
      </c>
      <c r="I59" t="str">
        <v>https://res.cloudinary.com/dthi2vgiz/image/upload/v1778509782/31cn2GbLxKL_1_-Photoroom_1_br4s6f.png</v>
      </c>
      <c r="J59" t="str">
        <v>11000</v>
      </c>
      <c r="K59" t="str">
        <v>periboost-05hp-pressure-pump</v>
      </c>
      <c r="L59" t="str">
        <v>KSB PERIBOOST 0.5Hp Pressure Pump | Booster Pump</v>
      </c>
      <c r="M59" t="str">
        <v>Boost your water pressure with KSB PERIBOOST 0.5Hp Pressure Pump. Corded Electric, Blue Thermal design, 2000 LPH at 40V DC. Durable Rubber build. Shop now!</v>
      </c>
      <c r="O59" t="str">
        <v>0.5HP</v>
      </c>
      <c r="P59" t="str">
        <v>true</v>
      </c>
      <c r="Q59" t="str">
        <v>KSB PERIBOOST: Elevate Your Water Pressure, Reliably.</v>
      </c>
      <c r="R59" t="str">
        <v/>
      </c>
      <c r="S59" t="str">
        <v/>
      </c>
    </row>
    <row r="60">
      <c r="A60" t="str">
        <v>ZZ07173</v>
      </c>
      <c r="B60" t="str">
        <v>Plumbing</v>
      </c>
      <c r="C60" t="str">
        <v>Water_Pumps</v>
      </c>
      <c r="D60" t="str">
        <v>Booster_Pumps</v>
      </c>
      <c r="E60" t="str">
        <v/>
      </c>
      <c r="F60" t="str">
        <v>MULTIBOOST BOOSTER PUMP 1HP 402 Centrifugal Water Pump</v>
      </c>
      <c r="G60" t="str">
        <v>Elevate your water pressure with the KSB MULTIBOOST BOOSTER PUMP KHM 402. This powerful 1HP Centrifugal pump, in a sleek blue finish, delivers an impressive Flow Rate of 840 Liters Per Minute. Crafted from durable Stainless Steel and weighing just 3 Kilograms, it's a reliable Corded Electric solution for consistent water supply. Explore the efficiency and compact design for your home or garden. Upgrade your flow today.</v>
      </c>
      <c r="H60" t="str">
        <v>KSB</v>
      </c>
      <c r="I60" t="str">
        <v>https://res.cloudinary.com/dthi2vgiz/image/upload/v1778583501/multiboost-booster-pump-khm-402-20-ksb-original-imagtbgcyj3hazbq-Photoroom_1_s7vkpd.png, https://res.cloudinary.com/dthi2vgiz/image/upload/v1778510126/periboost-plus-05-precision-pressure-pump-2220-ksb-original-imagtbfqnm8tkkjx_gsjqv5.webp</v>
      </c>
      <c r="J60" t="str">
        <v>31025</v>
      </c>
      <c r="K60" t="str">
        <v>multiboost-booster-pump-1hp-402-centrifugal-water-pump</v>
      </c>
      <c r="L60" t="str">
        <v>KSB MULTIBOOST KHM 402 Centrifugal Booster Pump</v>
      </c>
      <c r="M60" t="str">
        <v>Experience powerful water pressure with the KSB MULTIBOOST KHM 402, a 1HP Stainless Steel Centrifugal pump. Enjoy 840 LPM flow for home &amp; garden. Compact &amp; efficient.</v>
      </c>
      <c r="O60" t="str">
        <v>1 HP</v>
      </c>
      <c r="P60" t="str">
        <v>false</v>
      </c>
      <c r="Q60" t="str">
        <v/>
      </c>
      <c r="R60" t="str">
        <v/>
      </c>
      <c r="S60" t="str">
        <v/>
      </c>
    </row>
    <row r="61">
      <c r="A61" t="str">
        <v>ZZ07473</v>
      </c>
      <c r="B61" t="str">
        <v>Plumbing</v>
      </c>
      <c r="C61" t="str">
        <v>Water_Pumps</v>
      </c>
      <c r="D61" t="str">
        <v>Open_Well_Submersible_Pumps</v>
      </c>
      <c r="E61" t="str">
        <v/>
      </c>
      <c r="F61" t="str">
        <v>1 Hp openwell submersible motor</v>
      </c>
      <c r="G61" t="str">
        <v>Experience unmatched water flow with the Lakshmi 1 HP Openwell Submersible Motor. This powerful 1 Horsepower pump is engineered as a reliable Open Well Submersible Pump, featuring a durable Multicolour finish. Operating efficiently on an ac power source, its sturdy 11000 Grams build ensures long-term performance. Ideal for agricultural, domestic, or industrial open well applications, ensuring consistent water supply. Invest in Lakshmi reliability today!</v>
      </c>
      <c r="H61" t="str">
        <v>Lakshmi</v>
      </c>
      <c r="I61" t="str">
        <v>https://res.cloudinary.com/dthi2vgiz/image/upload/v1778583737/41onTSeWDGL._SX569_-Photoroom_hdujn6.png, https://res.cloudinary.com/dthi2vgiz/image/upload/v1778583792/51g6pt_4PlL._SX569_-Photoroom_bnqbtd.png</v>
      </c>
      <c r="J61" t="str">
        <v>8900</v>
      </c>
      <c r="K61" t="str">
        <v>1-hp-openwell-submersible-motor</v>
      </c>
      <c r="L61" t="str">
        <v>Lakshmi 1 HP Openwell Submersible Motor</v>
      </c>
      <c r="M61" t="str">
        <v>Get the Lakshmi 1 HP Openwell Submersible Pump for reliable water solutions. Powerful 1 HP, AC-powered, and durable. Perfect for agriculture &amp; homes.</v>
      </c>
      <c r="O61" t="str">
        <v>1.0Hp</v>
      </c>
      <c r="P61" t="str">
        <v>false</v>
      </c>
      <c r="Q61" t="str">
        <v/>
      </c>
      <c r="R61" t="str">
        <v/>
      </c>
      <c r="S61" t="str">
        <v/>
      </c>
    </row>
    <row r="62">
      <c r="A62" t="str">
        <v>ZZ07482</v>
      </c>
      <c r="B62" t="str">
        <v>Plumbing</v>
      </c>
      <c r="C62" t="str">
        <v>Water_Pumps</v>
      </c>
      <c r="D62" t="str">
        <v>Open_Well_Submersible_Pumps</v>
      </c>
      <c r="E62" t="str">
        <v/>
      </c>
      <c r="F62" t="str">
        <v>0.5HP openwell submersible motor</v>
      </c>
      <c r="G62" t="str">
        <v>Lakshmi 0.5HP Open Well Submersible Motor: Your ultimate solution for efficient water management. This robust pump, supplied with Panel Board (80 Feet), ensures reliable performance for domestic and agricultural open wells. Experience a Maximum Flow Rate of 55 Liters Per Minute and a Maximum Lifting Height of 30 Metres. Engineered for 230 Volts, it's designed for consistent power. Discover dependable water delivery today.</v>
      </c>
      <c r="H62" t="str">
        <v>Lakshmi</v>
      </c>
      <c r="I62" t="str">
        <v>https://res.cloudinary.com/dthi2vgiz/image/upload/v1778583737/41onTSeWDGL._SX569_-Photoroom_hdujn6.png</v>
      </c>
      <c r="J62" t="str">
        <v>7000</v>
      </c>
      <c r="K62" t="str">
        <v>05hp-openwell-submersible-motor</v>
      </c>
      <c r="L62" t="str">
        <v>Lakshmi 0.5HP Open Well Pump | Efficient Submersible Motor</v>
      </c>
      <c r="M62" t="str">
        <v>Lakshmi 0.5HP Open Well Submersible Pump with Panel Board (80ft). Get 55 LPM flow &amp; 30m lift at 230V. Ideal for domestic &amp; agri use. Shop efficient water solutions.</v>
      </c>
      <c r="O62" t="str">
        <v>0.5hp</v>
      </c>
      <c r="P62" t="str">
        <v>false</v>
      </c>
      <c r="Q62" t="str">
        <v/>
      </c>
      <c r="R62" t="str">
        <v/>
      </c>
      <c r="S62" t="str">
        <v/>
      </c>
    </row>
    <row r="63">
      <c r="A63" t="str">
        <v>ZZ07459</v>
      </c>
      <c r="B63" t="str">
        <v>Plumbing</v>
      </c>
      <c r="C63" t="str">
        <v>Water_Pumps</v>
      </c>
      <c r="D63" t="str">
        <v>Mono_Block_Pumps</v>
      </c>
      <c r="E63" t="str">
        <v/>
      </c>
      <c r="F63" t="str">
        <v>0.5Hp Monoblock pump</v>
      </c>
      <c r="G63" t="str">
        <v>Lakshmi 0.5Hp Monoblock Pump: Engineered for unwavering performance. Featuring a robust cast iron body and a high-efficiency motor with thermal overload protection, this Monoblock pump ensures superior corrosion resistance and lasting durability. Ideal for dependable domestic water supply, garden irrigation, or small agricultural applications. Discover the power of Lakshmi Monoblock Pumps and elevate your water management.</v>
      </c>
      <c r="H63" t="str">
        <v>Lakshmi</v>
      </c>
      <c r="I63" t="str">
        <v>https://res.cloudinary.com/dthi2vgiz/image/upload/v1778586409/1665732065465-Photoroom_gymy0s.png</v>
      </c>
      <c r="J63" t="str">
        <v>6500</v>
      </c>
      <c r="K63" t="str">
        <v>05hp-monoblock-pump</v>
      </c>
      <c r="L63" t="str">
        <v>Lakshmi 0.5Hp Monoblock Pump | Reliable Water Solutions</v>
      </c>
      <c r="M63" t="str">
        <v>Power your water needs with Lakshmi's 0.5Hp Monoblock Pump. Robust, efficient, and corrosion-resistant, it's ideal for domestic, garden, and small farm irrigation. Experience lasting performance.</v>
      </c>
      <c r="O63" t="str">
        <v>0.5hp</v>
      </c>
      <c r="P63" t="str">
        <v>true</v>
      </c>
      <c r="Q63" t="str">
        <v>Lakshmi Monoblock: Power Your Flow, Flawlessly.</v>
      </c>
      <c r="R63" t="str">
        <v/>
      </c>
      <c r="S63" t="str">
        <v/>
      </c>
    </row>
    <row r="64">
      <c r="A64" t="str">
        <v>ZZ07461</v>
      </c>
      <c r="B64" t="str">
        <v>Plumbing</v>
      </c>
      <c r="C64" t="str">
        <v>Water_Pumps</v>
      </c>
      <c r="D64" t="str">
        <v>Mono_Block_Pumps</v>
      </c>
      <c r="E64" t="str">
        <v/>
      </c>
      <c r="F64" t="str">
        <v>1 hp centrifugal monoblock pump</v>
      </c>
      <c r="G64" t="str">
        <v>Experience robust reliability with the Lakshmi 1 hp Centrifugal Monoblock Pump. Engineered for efficiency, its durable cast iron body and corrosion-resistant finish ensure smooth, long-lasting operation. Perfect for domestic water supply, small farm irrigation, or garden needs. Upgrade to Lakshmi and discover dependable performance for your daily water demands.</v>
      </c>
      <c r="H64" t="str">
        <v>Lakshmi</v>
      </c>
      <c r="I64" t="str">
        <v>https://res.cloudinary.com/dthi2vgiz/image/upload/v1778586614/1-hp-lakshmi-centrifugal-monoblock-pump-015-Photoroom_yubsa9.png</v>
      </c>
      <c r="J64" t="str">
        <v>7900</v>
      </c>
      <c r="K64" t="str">
        <v>1-hp-centrifugal-monoblock-pump</v>
      </c>
      <c r="L64" t="str">
        <v>Lakshmi 1 hp Monoblock Pump - Reliable Water Solutions</v>
      </c>
      <c r="M64" t="str">
        <v>Explore Lakshmi's 1 hp Centrifugal Monoblock Pump. Engineered for reliable water supply in homes, farms, &amp; gardens. Durable, efficient, &amp; corrosion-resistant. Upgrade your system today!</v>
      </c>
      <c r="O64" t="str">
        <v>1.0hp</v>
      </c>
      <c r="P64" t="str">
        <v>false</v>
      </c>
      <c r="Q64" t="str">
        <v/>
      </c>
      <c r="R64" t="str">
        <v/>
      </c>
      <c r="S64" t="str">
        <v/>
      </c>
    </row>
    <row r="65">
      <c r="A65" t="str">
        <v>ZZ07460</v>
      </c>
      <c r="B65" t="str">
        <v>Plumbing</v>
      </c>
      <c r="C65" t="str">
        <v>Water_Pumps</v>
      </c>
      <c r="D65" t="str">
        <v>Self_Priming_Pumps</v>
      </c>
      <c r="E65" t="str">
        <v/>
      </c>
      <c r="F65" t="str">
        <v>1hp self priming regenerative pump</v>
      </c>
      <c r="G65" t="str">
        <v>Boost your water system with the Lakshmi 1hp Self Priming Regenerative Pump. Its advanced self-priming capability ensures quick, hassle-free operation. Featuring a durable, corrosion-resistant finish, this robust pump is perfect for reliable residential water supply, garden irrigation, or pressure boosting. Upgrade to seamless performance.</v>
      </c>
      <c r="H65" t="str">
        <v>Lakshmi</v>
      </c>
      <c r="I65" t="str">
        <v>https://res.cloudinary.com/dthi2vgiz/image/upload/v1778593757/self-priming-regenerative-pump-20260106133337375_1_-Photoroom_ezpeqg.png</v>
      </c>
      <c r="J65" t="str">
        <v>6299</v>
      </c>
      <c r="K65" t="str">
        <v>1hp-self-priming-regenerative-pump</v>
      </c>
      <c r="L65" t="str">
        <v>Lakshmi 1hp Self Priming Regenerative Pump</v>
      </c>
      <c r="M65" t="str">
        <v>Discover Lakshmi's 1hp Self Priming Regenerative Pump. Enjoy reliable, hassle-free water transfer for residential supply &amp; irrigation. Durable &amp; efficient pump solutions.</v>
      </c>
      <c r="O65" t="str">
        <v>1hp</v>
      </c>
      <c r="P65" t="str">
        <v>false</v>
      </c>
      <c r="Q65" t="str">
        <v/>
      </c>
      <c r="R65" t="str">
        <v/>
      </c>
      <c r="S65" t="str">
        <v/>
      </c>
    </row>
    <row r="66">
      <c r="A66" t="str">
        <v>ZZ06585</v>
      </c>
      <c r="B66" t="str">
        <v>Plumbing</v>
      </c>
      <c r="C66" t="str">
        <v>Water_Pumps</v>
      </c>
      <c r="D66" t="str">
        <v>Self_Priming_Pumps</v>
      </c>
      <c r="E66" t="str">
        <v/>
      </c>
      <c r="F66" t="str">
        <v>Aqua Smarty II Water Pump SelfPriming Regenerative</v>
      </c>
      <c r="G66" t="str">
        <v>Unleash reliable performance with the KSB Aqua Smarty II SelfPriming Regenerative Water Pump. Its robust, compact design ensures quick self-priming, making it ideal for boosting domestic water supply or small-scale irrigation. The powerful, efficient Single Phase motor guarantees consistent pressure and flow. Discover the smart choice for your water needs.</v>
      </c>
      <c r="H66" t="str">
        <v>KSB</v>
      </c>
      <c r="I66" t="str">
        <v>https://res.cloudinary.com/dthi2vgiz/image/upload/v1778595600/41bOuWY3DnL._SX569_-Photoroom_fqpkv3.png</v>
      </c>
      <c r="J66" t="str">
        <v>4599.98</v>
      </c>
      <c r="K66" t="str">
        <v>aqua-smarty-ii-water-pump-selfpriming-regenerative</v>
      </c>
      <c r="L66" t="str">
        <v>KSB Aqua Smarty II Water Pump | Self-Priming &amp; Regenerative</v>
      </c>
      <c r="M66" t="str">
        <v>Discover the KSB Aqua Smarty II SelfPriming Regenerative Water Pump. Ideal for reliable domestic water supply &amp; irrigation. Features an efficient Single Phase motor for consistent pressure.</v>
      </c>
      <c r="O66" t="str">
        <v>0.5hp</v>
      </c>
      <c r="P66" t="str">
        <v>false</v>
      </c>
      <c r="Q66" t="str">
        <v/>
      </c>
      <c r="R66" t="str">
        <v/>
      </c>
      <c r="S66" t="str">
        <v/>
      </c>
    </row>
    <row r="67">
      <c r="A67" t="str">
        <v>ZZ06586</v>
      </c>
      <c r="B67" t="str">
        <v>Plumbing</v>
      </c>
      <c r="C67" t="str">
        <v>Water_Pumps</v>
      </c>
      <c r="D67" t="str">
        <v>Self_Priming_Pumps</v>
      </c>
      <c r="E67" t="str">
        <v/>
      </c>
      <c r="F67" t="str">
        <v>Aqua Smarty I Self Priming 1hp</v>
      </c>
      <c r="G67" t="str">
        <v>Experience reliable water transfer with the KSB Aqua Smarty I Self Priming 1hp pump. Engineered for efficiency, this robust 240 Volts pump boasts a Maximum Flow Rate of 73 Liters Per Minute and a Maximum Lifting Height of 40 Metres. Perfect for domestic, irrigation, or light commercial self-priming applications. Upgrade your water system today.</v>
      </c>
      <c r="H67" t="str">
        <v>KSB</v>
      </c>
      <c r="I67" t="str">
        <v>https://res.cloudinary.com/dthi2vgiz/image/upload/v1778595600/41bOuWY3DnL._SX569_-Photoroom_fqpkv3.png</v>
      </c>
      <c r="J67" t="str">
        <v>5730.01</v>
      </c>
      <c r="K67" t="str">
        <v>aqua-smarty-i-self-priming-1hp</v>
      </c>
      <c r="L67" t="str">
        <v>KSB Aqua Smarty I Self Priming 1hp Pump | KSB Pumps</v>
      </c>
      <c r="M67" t="str">
        <v>Power your water transfer with KSB Aqua Smarty I Self Priming 1hp. Enjoy 73 LPM flow, 40m lift, 240V reliability for domestic &amp; irrigation needs. Shop KSB pumps now!</v>
      </c>
      <c r="O67" t="str">
        <v>1hp</v>
      </c>
      <c r="P67" t="str">
        <v>false</v>
      </c>
      <c r="Q67" t="str">
        <v/>
      </c>
      <c r="R67" t="str">
        <v/>
      </c>
      <c r="S67" t="str">
        <v/>
      </c>
    </row>
    <row r="68">
      <c r="A68" t="str">
        <v>ZZ03647</v>
      </c>
      <c r="B68" t="str">
        <v>Plumbing</v>
      </c>
      <c r="C68" t="str">
        <v>Water_Pumps</v>
      </c>
      <c r="D68" t="str">
        <v>Submersible_Pumps</v>
      </c>
      <c r="E68" t="str">
        <v/>
      </c>
      <c r="F68" t="str">
        <v>0.5hp A5/aj5 centrifugal jet pump</v>
      </c>
      <c r="G68" t="str">
        <v>Experience superior borewell water pumping with the Esdee AJ series Power 0.5 HP Phase 1Ph Model A5/AJ5 AF Submersible Pump. Engineered for 50mm and 75mm borewells, its durable cast iron build and Induction Motor Type ensure high efficiency, long life, and easy install. This low cost, durable pump, featuring compact 32X25X25mm dimensions, offers unmatched reliability. Make the smart choice for effortless water solutions.</v>
      </c>
      <c r="H68" t="str">
        <v>CRI Pumps</v>
      </c>
      <c r="I68" t="str">
        <v>https://res.cloudinary.com/dthi2vgiz/image/upload/v1778596812/cri-0-5hp-a5-aj5-af-32x25x25mm-1ph-pump-772-Photoroom_my41kq.png</v>
      </c>
      <c r="J68" t="str">
        <v>10975</v>
      </c>
      <c r="K68" t="str">
        <v>05hp-a5aj5-centrifugal-jet-pump</v>
      </c>
      <c r="L68" t="str">
        <v>Esdee 0.5 HP AJ/A5 Submersible Pump for Borewells</v>
      </c>
      <c r="M68" t="str">
        <v>Esdee AJ series 0.5 HP 1Ph Submersible Pump (A5/AJ5 AF). Durable cast iron for 50/75mm borewells. High efficiency, long life &amp; easy install. Get reliable borewell water pumping.</v>
      </c>
      <c r="O68" t="str">
        <v>0.5HP</v>
      </c>
      <c r="P68" t="str">
        <v>false</v>
      </c>
      <c r="Q68" t="str">
        <v/>
      </c>
      <c r="R68" t="str">
        <v/>
      </c>
      <c r="S68" t="str">
        <v/>
      </c>
    </row>
  </sheetData>
  <ignoredErrors>
    <ignoredError numberStoredAsText="1" sqref="A1:S68"/>
  </ignoredErrors>
</worksheet>
</file>

<file path=xl/worksheets/sheet2.xml><?xml version="1.0" encoding="utf-8"?>
<worksheet xmlns="http://schemas.openxmlformats.org/spreadsheetml/2006/main" xmlns:r="http://schemas.openxmlformats.org/officeDocument/2006/relationships">
  <dimension ref="A1:C149"/>
  <sheetViews>
    <sheetView workbookViewId="0" rightToLeft="0"/>
  </sheetViews>
  <sheetData>
    <row r="1">
      <c r="A1" t="str">
        <v>Category</v>
      </c>
      <c r="B1" t="str">
        <v>Subcategory</v>
      </c>
      <c r="C1" t="str">
        <v>Subsubcategory</v>
      </c>
    </row>
    <row r="2">
      <c r="A2" t="str">
        <v>Electrical</v>
      </c>
      <c r="B2" t="str">
        <v>Wiring_Devices</v>
      </c>
      <c r="C2" t="str">
        <v>Switches</v>
      </c>
    </row>
    <row r="3">
      <c r="A3" t="str">
        <v>Electrical</v>
      </c>
      <c r="B3" t="str">
        <v>Wiring_Devices</v>
      </c>
      <c r="C3" t="str">
        <v>Outlets</v>
      </c>
    </row>
    <row r="4">
      <c r="A4" t="str">
        <v>Electrical</v>
      </c>
      <c r="B4" t="str">
        <v>Wiring_Devices</v>
      </c>
      <c r="C4" t="str">
        <v>Dimmers</v>
      </c>
    </row>
    <row r="5">
      <c r="A5" t="str">
        <v>Electrical</v>
      </c>
      <c r="B5" t="str">
        <v>Wiring_Devices</v>
      </c>
      <c r="C5" t="str">
        <v>Switch_Plates</v>
      </c>
    </row>
    <row r="6">
      <c r="A6" t="str">
        <v>Electrical</v>
      </c>
      <c r="B6" t="str">
        <v>Power_Distribution</v>
      </c>
      <c r="C6" t="str">
        <v>Circuit_Breakers</v>
      </c>
    </row>
    <row r="7">
      <c r="A7" t="str">
        <v>Electrical</v>
      </c>
      <c r="B7" t="str">
        <v>Power_Distribution</v>
      </c>
      <c r="C7" t="str">
        <v>Distribution_Boards</v>
      </c>
    </row>
    <row r="8">
      <c r="A8" t="str">
        <v>Electrical</v>
      </c>
      <c r="B8" t="str">
        <v>Power_Distribution</v>
      </c>
      <c r="C8" t="str">
        <v>MCB_Boxes</v>
      </c>
    </row>
    <row r="9">
      <c r="A9" t="str">
        <v>Electrical</v>
      </c>
      <c r="B9" t="str">
        <v>Wires_and_Cables</v>
      </c>
      <c r="C9" t="str">
        <v>Concealed_Wires</v>
      </c>
    </row>
    <row r="10">
      <c r="A10" t="str">
        <v>Electrical</v>
      </c>
      <c r="B10" t="str">
        <v>Wires_and_Cables</v>
      </c>
      <c r="C10" t="str">
        <v>Multicore_Wires</v>
      </c>
    </row>
    <row r="11">
      <c r="A11" t="str">
        <v>Electrical</v>
      </c>
      <c r="B11" t="str">
        <v>Wires_and_Cables</v>
      </c>
      <c r="C11" t="str">
        <v>Submersible_Wires</v>
      </c>
    </row>
    <row r="12">
      <c r="A12" t="str">
        <v>Electrical</v>
      </c>
      <c r="B12" t="str">
        <v>Wires_and_Cables</v>
      </c>
      <c r="C12" t="str">
        <v>Service_Wires</v>
      </c>
    </row>
    <row r="13">
      <c r="A13" t="str">
        <v>Electrical</v>
      </c>
      <c r="B13" t="str">
        <v>Lighting_Fixtures</v>
      </c>
      <c r="C13" t="str">
        <v>LED_Bulbs_&amp;_Tubes</v>
      </c>
    </row>
    <row r="14">
      <c r="A14" t="str">
        <v>Electrical</v>
      </c>
      <c r="B14" t="str">
        <v>Lighting_Fixtures</v>
      </c>
      <c r="C14" t="str">
        <v>Concealed_Lights</v>
      </c>
    </row>
    <row r="15">
      <c r="A15" t="str">
        <v>Electrical</v>
      </c>
      <c r="B15" t="str">
        <v>Lighting_Fixtures</v>
      </c>
      <c r="C15" t="str">
        <v>Surface_Lights</v>
      </c>
    </row>
    <row r="16">
      <c r="A16" t="str">
        <v>Electrical</v>
      </c>
      <c r="B16" t="str">
        <v>Lighting_Fixtures</v>
      </c>
      <c r="C16" t="str">
        <v>Decorative_Lights</v>
      </c>
    </row>
    <row r="17">
      <c r="A17" t="str">
        <v>Electrical</v>
      </c>
      <c r="B17" t="str">
        <v>Lighting_Fixtures</v>
      </c>
      <c r="C17" t="str">
        <v>Street_Lights</v>
      </c>
    </row>
    <row r="18">
      <c r="A18" t="str">
        <v>Electrical</v>
      </c>
      <c r="B18" t="str">
        <v>Lighting_Fixtures</v>
      </c>
      <c r="C18" t="str">
        <v>Flood_Lights</v>
      </c>
    </row>
    <row r="19">
      <c r="A19" t="str">
        <v>Electrical</v>
      </c>
      <c r="B19" t="str">
        <v>Lighting_Fixtures</v>
      </c>
      <c r="C19" t="str">
        <v>Bulk_Head</v>
      </c>
    </row>
    <row r="20">
      <c r="A20" t="str">
        <v>Electrical</v>
      </c>
      <c r="B20" t="str">
        <v>Lighting_Fixtures</v>
      </c>
      <c r="C20" t="str">
        <v>Outdoor_Wall_Lights</v>
      </c>
    </row>
    <row r="21">
      <c r="A21" t="str">
        <v>Electrical</v>
      </c>
      <c r="B21" t="str">
        <v>Lighting_Fixtures</v>
      </c>
      <c r="C21" t="str">
        <v>Junction_Box_LED</v>
      </c>
    </row>
    <row r="22">
      <c r="A22" t="str">
        <v>Electrical</v>
      </c>
      <c r="B22" t="str">
        <v>Lighting_Fixtures</v>
      </c>
      <c r="C22" t="str">
        <v>Down_Light_Panel</v>
      </c>
    </row>
    <row r="23">
      <c r="A23" t="str">
        <v>Electrical</v>
      </c>
      <c r="B23" t="str">
        <v>Lighting_Fixtures</v>
      </c>
      <c r="C23" t="str">
        <v>Solar_Lights</v>
      </c>
    </row>
    <row r="24">
      <c r="A24" t="str">
        <v>Electrical</v>
      </c>
      <c r="B24" t="str">
        <v>Lighting_Fixtures</v>
      </c>
      <c r="C24" t="str">
        <v>Gate_Lights</v>
      </c>
    </row>
    <row r="25">
      <c r="A25" t="str">
        <v>Electrical</v>
      </c>
      <c r="B25" t="str">
        <v>Fans</v>
      </c>
      <c r="C25" t="str">
        <v>Ceiling_Fans</v>
      </c>
    </row>
    <row r="26">
      <c r="A26" t="str">
        <v>Electrical</v>
      </c>
      <c r="B26" t="str">
        <v>Fans</v>
      </c>
      <c r="C26" t="str">
        <v>Pedestal_Fans</v>
      </c>
    </row>
    <row r="27">
      <c r="A27" t="str">
        <v>Electrical</v>
      </c>
      <c r="B27" t="str">
        <v>Fans</v>
      </c>
      <c r="C27" t="str">
        <v>Table_Fans</v>
      </c>
    </row>
    <row r="28">
      <c r="A28" t="str">
        <v>Electrical</v>
      </c>
      <c r="B28" t="str">
        <v>Fans</v>
      </c>
      <c r="C28" t="str">
        <v>Wall_Fans</v>
      </c>
    </row>
    <row r="29">
      <c r="A29" t="str">
        <v>Electrical</v>
      </c>
      <c r="B29" t="str">
        <v>Fans</v>
      </c>
      <c r="C29" t="str">
        <v>Exhaust_Fans</v>
      </c>
    </row>
    <row r="30">
      <c r="A30" t="str">
        <v>Electrical</v>
      </c>
      <c r="B30" t="str">
        <v>Water_Heaters</v>
      </c>
      <c r="C30" t="str">
        <v>Instant_Water_Heaters</v>
      </c>
    </row>
    <row r="31">
      <c r="A31" t="str">
        <v>Electrical</v>
      </c>
      <c r="B31" t="str">
        <v>Water_Heaters</v>
      </c>
      <c r="C31" t="str">
        <v>Storage_Water_Heaters</v>
      </c>
    </row>
    <row r="32">
      <c r="A32" t="str">
        <v>Electrical</v>
      </c>
      <c r="B32" t="str">
        <v>Water_Heaters</v>
      </c>
      <c r="C32" t="str">
        <v>Immersion_Water_Heaters</v>
      </c>
    </row>
    <row r="33">
      <c r="A33" t="str">
        <v>Electrical</v>
      </c>
      <c r="B33" t="str">
        <v>General</v>
      </c>
      <c r="C33" t="str">
        <v>Smart_Switches</v>
      </c>
    </row>
    <row r="34">
      <c r="A34" t="str">
        <v>Electrical</v>
      </c>
      <c r="B34" t="str">
        <v>General</v>
      </c>
      <c r="C34" t="str">
        <v>Conduit_Pipes</v>
      </c>
    </row>
    <row r="35">
      <c r="A35" t="str">
        <v>Electrical</v>
      </c>
      <c r="B35" t="str">
        <v>General</v>
      </c>
      <c r="C35" t="str">
        <v>Conduit_Fittings</v>
      </c>
    </row>
    <row r="36">
      <c r="A36" t="str">
        <v>Electrical</v>
      </c>
      <c r="B36" t="str">
        <v>General</v>
      </c>
      <c r="C36" t="str">
        <v>Enclosures</v>
      </c>
    </row>
    <row r="37">
      <c r="A37" t="str">
        <v>Electrical</v>
      </c>
      <c r="B37" t="str">
        <v>General</v>
      </c>
      <c r="C37" t="str">
        <v>Capacitors_&amp;_Starters</v>
      </c>
    </row>
    <row r="38">
      <c r="A38" t="str">
        <v>Electrical</v>
      </c>
      <c r="B38" t="str">
        <v>General</v>
      </c>
      <c r="C38" t="str">
        <v>Stabilizers</v>
      </c>
    </row>
    <row r="39">
      <c r="A39" t="str">
        <v>Electrical</v>
      </c>
      <c r="B39" t="str">
        <v>General</v>
      </c>
      <c r="C39" t="str">
        <v>Iron_Box</v>
      </c>
    </row>
    <row r="40">
      <c r="A40" t="str">
        <v>Hardwares</v>
      </c>
      <c r="B40" t="str">
        <v>Locks_and_Latches</v>
      </c>
      <c r="C40" t="str">
        <v>Door_Locks</v>
      </c>
    </row>
    <row r="41">
      <c r="A41" t="str">
        <v>Hardwares</v>
      </c>
      <c r="B41" t="str">
        <v>Locks_and_Latches</v>
      </c>
      <c r="C41" t="str">
        <v>Padlocks</v>
      </c>
    </row>
    <row r="42">
      <c r="A42" t="str">
        <v>Hardwares</v>
      </c>
      <c r="B42" t="str">
        <v>Handles_and_Knobs</v>
      </c>
      <c r="C42" t="str">
        <v>SS_Handles</v>
      </c>
    </row>
    <row r="43">
      <c r="A43" t="str">
        <v>Hardwares</v>
      </c>
      <c r="B43" t="str">
        <v>Handles_and_Knobs</v>
      </c>
      <c r="C43" t="str">
        <v>Brass_Handles</v>
      </c>
    </row>
    <row r="44">
      <c r="A44" t="str">
        <v>Hardwares</v>
      </c>
      <c r="B44" t="str">
        <v>Curtain_Accessories</v>
      </c>
      <c r="C44" t="str">
        <v>Curtain_Holder</v>
      </c>
    </row>
    <row r="45">
      <c r="A45" t="str">
        <v>Hardwares</v>
      </c>
      <c r="B45" t="str">
        <v>Curtain_Accessories</v>
      </c>
      <c r="C45" t="str">
        <v>Curtain_Rods</v>
      </c>
    </row>
    <row r="46">
      <c r="A46" t="str">
        <v>Hardwares</v>
      </c>
      <c r="B46" t="str">
        <v>Cabinet_Hardware</v>
      </c>
      <c r="C46" t="str">
        <v>Plain_Basket</v>
      </c>
    </row>
    <row r="47">
      <c r="A47" t="str">
        <v>Hardwares</v>
      </c>
      <c r="B47" t="str">
        <v>Cabinet_Hardware</v>
      </c>
      <c r="C47" t="str">
        <v>Designer_Basket</v>
      </c>
    </row>
    <row r="48">
      <c r="A48" t="str">
        <v>Hardwares</v>
      </c>
      <c r="B48" t="str">
        <v>Cabinet_Hardware</v>
      </c>
      <c r="C48" t="str">
        <v>Other_Items</v>
      </c>
    </row>
    <row r="49">
      <c r="A49" t="str">
        <v>Hardwares</v>
      </c>
      <c r="B49" t="str">
        <v>Cabinet_Hardware</v>
      </c>
      <c r="C49" t="str">
        <v>Drawer_Channels</v>
      </c>
    </row>
    <row r="50">
      <c r="A50" t="str">
        <v>Hardwares</v>
      </c>
      <c r="B50" t="str">
        <v>Hinges</v>
      </c>
      <c r="C50" t="str">
        <v>Door_Hinges</v>
      </c>
    </row>
    <row r="51">
      <c r="A51" t="str">
        <v>Hardwares</v>
      </c>
      <c r="B51" t="str">
        <v>Hinges</v>
      </c>
      <c r="C51" t="str">
        <v>Cut_Hinges</v>
      </c>
    </row>
    <row r="52">
      <c r="A52" t="str">
        <v>Hardwares</v>
      </c>
      <c r="B52" t="str">
        <v>Hinges</v>
      </c>
      <c r="C52" t="str">
        <v>Auto_Hinges</v>
      </c>
    </row>
    <row r="53">
      <c r="A53" t="str">
        <v>Hardwares</v>
      </c>
      <c r="B53" t="str">
        <v>Hinges</v>
      </c>
      <c r="C53" t="str">
        <v>Military_Hinges</v>
      </c>
    </row>
    <row r="54">
      <c r="A54" t="str">
        <v>Hardwares</v>
      </c>
      <c r="B54" t="str">
        <v>Fasteners</v>
      </c>
      <c r="C54" t="str">
        <v>Screws</v>
      </c>
    </row>
    <row r="55">
      <c r="A55" t="str">
        <v>Hardwares</v>
      </c>
      <c r="B55" t="str">
        <v>Fasteners</v>
      </c>
      <c r="C55" t="str">
        <v>Nails</v>
      </c>
    </row>
    <row r="56">
      <c r="A56" t="str">
        <v>Hardwares</v>
      </c>
      <c r="B56" t="str">
        <v>Fasteners</v>
      </c>
      <c r="C56" t="str">
        <v>Bolts</v>
      </c>
    </row>
    <row r="57">
      <c r="A57" t="str">
        <v>Hardwares</v>
      </c>
      <c r="B57" t="str">
        <v>Fasteners</v>
      </c>
      <c r="C57" t="str">
        <v>Anchors</v>
      </c>
    </row>
    <row r="58">
      <c r="A58" t="str">
        <v>Paints</v>
      </c>
      <c r="B58" t="str">
        <v>Emulsion</v>
      </c>
      <c r="C58" t="str">
        <v>Interior_Emulsion</v>
      </c>
    </row>
    <row r="59">
      <c r="A59" t="str">
        <v>Paints</v>
      </c>
      <c r="B59" t="str">
        <v>Emulsion</v>
      </c>
      <c r="C59" t="str">
        <v>Exterior_Emulsion</v>
      </c>
    </row>
    <row r="60">
      <c r="A60" t="str">
        <v>Paints</v>
      </c>
      <c r="B60" t="str">
        <v>Emulsion</v>
      </c>
      <c r="C60" t="str">
        <v>Decorative_Emulsion</v>
      </c>
    </row>
    <row r="61">
      <c r="A61" t="str">
        <v>Paints</v>
      </c>
      <c r="B61" t="str">
        <v>Emulsion</v>
      </c>
      <c r="C61" t="str">
        <v>Cooling_Paints</v>
      </c>
    </row>
    <row r="62">
      <c r="A62" t="str">
        <v>Paints</v>
      </c>
      <c r="B62" t="str">
        <v>Enamels</v>
      </c>
      <c r="C62" t="str">
        <v>Gloss_Enamel</v>
      </c>
    </row>
    <row r="63">
      <c r="A63" t="str">
        <v>Paints</v>
      </c>
      <c r="B63" t="str">
        <v>Enamels</v>
      </c>
      <c r="C63" t="str">
        <v>Satin_Enamel</v>
      </c>
    </row>
    <row r="64">
      <c r="A64" t="str">
        <v>Paints</v>
      </c>
      <c r="B64" t="str">
        <v>Enamels</v>
      </c>
      <c r="C64" t="str">
        <v>Metallic_Enamel</v>
      </c>
    </row>
    <row r="65">
      <c r="A65" t="str">
        <v>Paints</v>
      </c>
      <c r="B65" t="str">
        <v>Sealers</v>
      </c>
      <c r="C65" t="str">
        <v>Sanding_Sealer</v>
      </c>
    </row>
    <row r="66">
      <c r="A66" t="str">
        <v>Paints</v>
      </c>
      <c r="B66" t="str">
        <v>Sealers</v>
      </c>
      <c r="C66" t="str">
        <v>Wood_Filler</v>
      </c>
    </row>
    <row r="67">
      <c r="A67" t="str">
        <v>Paints</v>
      </c>
      <c r="B67" t="str">
        <v>Sealers</v>
      </c>
      <c r="C67" t="str">
        <v>Sealer_2_Pack</v>
      </c>
    </row>
    <row r="68">
      <c r="A68" t="str">
        <v>Paints</v>
      </c>
      <c r="B68" t="str">
        <v>Water_Proofing</v>
      </c>
      <c r="C68" t="str">
        <v>Roof_&amp;_Terraces</v>
      </c>
    </row>
    <row r="69">
      <c r="A69" t="str">
        <v>Paints</v>
      </c>
      <c r="B69" t="str">
        <v>Water_Proofing</v>
      </c>
      <c r="C69" t="str">
        <v>Below_Ground</v>
      </c>
    </row>
    <row r="70">
      <c r="A70" t="str">
        <v>Paints</v>
      </c>
      <c r="B70" t="str">
        <v>Water_Proofing</v>
      </c>
      <c r="C70" t="str">
        <v>Kitchen_&amp;_Bathrooms</v>
      </c>
    </row>
    <row r="71">
      <c r="A71" t="str">
        <v>Paints</v>
      </c>
      <c r="B71" t="str">
        <v>Water_Proofing</v>
      </c>
      <c r="C71" t="str">
        <v>Interior_&amp;_Exterior_Wall</v>
      </c>
    </row>
    <row r="72">
      <c r="A72" t="str">
        <v>Paints</v>
      </c>
      <c r="B72" t="str">
        <v>Water_Proofing</v>
      </c>
      <c r="C72" t="str">
        <v>Other_Items</v>
      </c>
    </row>
    <row r="73">
      <c r="A73" t="str">
        <v>Paints</v>
      </c>
      <c r="B73" t="str">
        <v>Wood_Finishes</v>
      </c>
      <c r="C73" t="str">
        <v>Interior_Glossy</v>
      </c>
    </row>
    <row r="74">
      <c r="A74" t="str">
        <v>Paints</v>
      </c>
      <c r="B74" t="str">
        <v>Wood_Finishes</v>
      </c>
      <c r="C74" t="str">
        <v>Interior_Matt</v>
      </c>
    </row>
    <row r="75">
      <c r="A75" t="str">
        <v>Paints</v>
      </c>
      <c r="B75" t="str">
        <v>Wood_Finishes</v>
      </c>
      <c r="C75" t="str">
        <v>Exterior_Glossy</v>
      </c>
    </row>
    <row r="76">
      <c r="A76" t="str">
        <v>Paints</v>
      </c>
      <c r="B76" t="str">
        <v>Wood_Finishes</v>
      </c>
      <c r="C76" t="str">
        <v>Exterior_Matt</v>
      </c>
    </row>
    <row r="77">
      <c r="A77" t="str">
        <v>Paints</v>
      </c>
      <c r="B77" t="str">
        <v>Primers</v>
      </c>
      <c r="C77" t="str">
        <v>Exterior_Wall_Primers</v>
      </c>
    </row>
    <row r="78">
      <c r="A78" t="str">
        <v>Paints</v>
      </c>
      <c r="B78" t="str">
        <v>Primers</v>
      </c>
      <c r="C78" t="str">
        <v>Interior_Wall_Primers</v>
      </c>
    </row>
    <row r="79">
      <c r="A79" t="str">
        <v>Paints</v>
      </c>
      <c r="B79" t="str">
        <v>Primers</v>
      </c>
      <c r="C79" t="str">
        <v>Wood_Primer</v>
      </c>
    </row>
    <row r="80">
      <c r="A80" t="str">
        <v>Paints</v>
      </c>
      <c r="B80" t="str">
        <v>Primers</v>
      </c>
      <c r="C80" t="str">
        <v>Metal_Primers</v>
      </c>
    </row>
    <row r="81">
      <c r="A81" t="str">
        <v>Paints</v>
      </c>
      <c r="B81" t="str">
        <v>Putty</v>
      </c>
      <c r="C81" t="str">
        <v>Exterior_Wall_Putty</v>
      </c>
    </row>
    <row r="82">
      <c r="A82" t="str">
        <v>Paints</v>
      </c>
      <c r="B82" t="str">
        <v>Putty</v>
      </c>
      <c r="C82" t="str">
        <v>Acrylic_Wall_Putty</v>
      </c>
    </row>
    <row r="83">
      <c r="A83" t="str">
        <v>Paints</v>
      </c>
      <c r="B83" t="str">
        <v>Putty</v>
      </c>
      <c r="C83" t="str">
        <v>Water_Proof_Wall_Putty</v>
      </c>
    </row>
    <row r="84">
      <c r="A84" t="str">
        <v>Paints</v>
      </c>
      <c r="B84" t="str">
        <v>Putty</v>
      </c>
      <c r="C84" t="str">
        <v>Texture_Putty</v>
      </c>
    </row>
    <row r="85">
      <c r="A85" t="str">
        <v>Paints</v>
      </c>
      <c r="B85" t="str">
        <v>Brushes_and_Rollers</v>
      </c>
      <c r="C85" t="str">
        <v>Interior_Roller</v>
      </c>
    </row>
    <row r="86">
      <c r="A86" t="str">
        <v>Paints</v>
      </c>
      <c r="B86" t="str">
        <v>Brushes_and_Rollers</v>
      </c>
      <c r="C86" t="str">
        <v>Exterior_Roller</v>
      </c>
    </row>
    <row r="87">
      <c r="A87" t="str">
        <v>Paints</v>
      </c>
      <c r="B87" t="str">
        <v>Brushes_and_Rollers</v>
      </c>
      <c r="C87" t="str">
        <v>Decorative_Roller</v>
      </c>
    </row>
    <row r="88">
      <c r="A88" t="str">
        <v>Paints</v>
      </c>
      <c r="B88" t="str">
        <v>Brushes_and_Rollers</v>
      </c>
      <c r="C88" t="str">
        <v>Paint_Brushes</v>
      </c>
    </row>
    <row r="89">
      <c r="A89" t="str">
        <v>Paints</v>
      </c>
      <c r="B89" t="str">
        <v>Brushes_and_Rollers</v>
      </c>
      <c r="C89" t="str">
        <v>Flat_Brushes</v>
      </c>
    </row>
    <row r="90">
      <c r="A90" t="str">
        <v>Plumbing</v>
      </c>
      <c r="B90" t="str">
        <v>Pipes</v>
      </c>
      <c r="C90" t="str">
        <v>PVC_Pipe</v>
      </c>
    </row>
    <row r="91">
      <c r="A91" t="str">
        <v>Plumbing</v>
      </c>
      <c r="B91" t="str">
        <v>Pipes</v>
      </c>
      <c r="C91" t="str">
        <v>CPVC_Pipe</v>
      </c>
    </row>
    <row r="92">
      <c r="A92" t="str">
        <v>Plumbing</v>
      </c>
      <c r="B92" t="str">
        <v>Pipes</v>
      </c>
      <c r="C92" t="str">
        <v>UPVC_Pipes</v>
      </c>
    </row>
    <row r="93">
      <c r="A93" t="str">
        <v>Plumbing</v>
      </c>
      <c r="B93" t="str">
        <v>Pipes</v>
      </c>
      <c r="C93" t="str">
        <v>Column_Pipes</v>
      </c>
    </row>
    <row r="94">
      <c r="A94" t="str">
        <v>Plumbing</v>
      </c>
      <c r="B94" t="str">
        <v>Pipes</v>
      </c>
      <c r="C94" t="str">
        <v>PPR_Pipes</v>
      </c>
    </row>
    <row r="95">
      <c r="A95" t="str">
        <v>Plumbing</v>
      </c>
      <c r="B95" t="str">
        <v>Valves</v>
      </c>
      <c r="C95" t="str">
        <v>Ball_Valves</v>
      </c>
    </row>
    <row r="96">
      <c r="A96" t="str">
        <v>Plumbing</v>
      </c>
      <c r="B96" t="str">
        <v>Valves</v>
      </c>
      <c r="C96" t="str">
        <v>Check_Valves</v>
      </c>
    </row>
    <row r="97">
      <c r="A97" t="str">
        <v>Plumbing</v>
      </c>
      <c r="B97" t="str">
        <v>Valves</v>
      </c>
      <c r="C97" t="str">
        <v>Gate_Valves</v>
      </c>
    </row>
    <row r="98">
      <c r="A98" t="str">
        <v>Plumbing</v>
      </c>
      <c r="B98" t="str">
        <v>Tanks</v>
      </c>
      <c r="C98" t="str">
        <v>Over_Head_Tanks</v>
      </c>
    </row>
    <row r="99">
      <c r="A99" t="str">
        <v>Plumbing</v>
      </c>
      <c r="B99" t="str">
        <v>Tanks</v>
      </c>
      <c r="C99" t="str">
        <v>Concealed_Flush_Tanks</v>
      </c>
    </row>
    <row r="100">
      <c r="A100" t="str">
        <v>Plumbing</v>
      </c>
      <c r="B100" t="str">
        <v>Tanks</v>
      </c>
      <c r="C100" t="str">
        <v>Wall_Mounted_Flush_Tanks</v>
      </c>
    </row>
    <row r="101">
      <c r="A101" t="str">
        <v>Plumbing</v>
      </c>
      <c r="B101" t="str">
        <v>Tanks</v>
      </c>
      <c r="C101" t="str">
        <v>Other_Tanks</v>
      </c>
    </row>
    <row r="102">
      <c r="A102" t="str">
        <v>Plumbing</v>
      </c>
      <c r="B102" t="str">
        <v>Pipe_Fittings</v>
      </c>
      <c r="C102" t="str">
        <v>Elbows_&amp;_Tees</v>
      </c>
    </row>
    <row r="103">
      <c r="A103" t="str">
        <v>Plumbing</v>
      </c>
      <c r="B103" t="str">
        <v>Pipe_Fittings</v>
      </c>
      <c r="C103" t="str">
        <v>Sockets_&amp;_Adaptors</v>
      </c>
    </row>
    <row r="104">
      <c r="A104" t="str">
        <v>Plumbing</v>
      </c>
      <c r="B104" t="str">
        <v>Pipe_Fittings</v>
      </c>
      <c r="C104" t="str">
        <v>Union_&amp;_End_Caps</v>
      </c>
    </row>
    <row r="105">
      <c r="A105" t="str">
        <v>Plumbing</v>
      </c>
      <c r="B105" t="str">
        <v>Pipe_Fittings</v>
      </c>
      <c r="C105" t="str">
        <v>Reducers_&amp;_Bushings</v>
      </c>
    </row>
    <row r="106">
      <c r="A106" t="str">
        <v>Plumbing</v>
      </c>
      <c r="B106" t="str">
        <v>Pipe_Fittings</v>
      </c>
      <c r="C106" t="str">
        <v>Brass_Fittings</v>
      </c>
    </row>
    <row r="107">
      <c r="A107" t="str">
        <v>Plumbing</v>
      </c>
      <c r="B107" t="str">
        <v>Manhole_Covers</v>
      </c>
      <c r="C107" t="str">
        <v>Pupa_Heavy_Duty_Man_Hole_Cover</v>
      </c>
    </row>
    <row r="108">
      <c r="A108" t="str">
        <v>Plumbing</v>
      </c>
      <c r="B108" t="str">
        <v>Manhole_Covers</v>
      </c>
      <c r="C108" t="str">
        <v>FRP_Man_Hole_Cover</v>
      </c>
    </row>
    <row r="109">
      <c r="A109" t="str">
        <v>Plumbing</v>
      </c>
      <c r="B109" t="str">
        <v>Water_Pumps</v>
      </c>
      <c r="C109" t="str">
        <v>Self_Priming_Pumps</v>
      </c>
    </row>
    <row r="110">
      <c r="A110" t="str">
        <v>Plumbing</v>
      </c>
      <c r="B110" t="str">
        <v>Water_Pumps</v>
      </c>
      <c r="C110" t="str">
        <v>Mono_Block_Pumps</v>
      </c>
    </row>
    <row r="111">
      <c r="A111" t="str">
        <v>Plumbing</v>
      </c>
      <c r="B111" t="str">
        <v>Water_Pumps</v>
      </c>
      <c r="C111" t="str">
        <v>Submersible_Pumps</v>
      </c>
    </row>
    <row r="112">
      <c r="A112" t="str">
        <v>Plumbing</v>
      </c>
      <c r="B112" t="str">
        <v>Water_Pumps</v>
      </c>
      <c r="C112" t="str">
        <v>Open_Well_Submersible_Pumps</v>
      </c>
    </row>
    <row r="113">
      <c r="A113" t="str">
        <v>Plumbing</v>
      </c>
      <c r="B113" t="str">
        <v>Water_Pumps</v>
      </c>
      <c r="C113" t="str">
        <v>Booster_Pumps</v>
      </c>
    </row>
    <row r="114">
      <c r="A114" t="str">
        <v>Plumbing</v>
      </c>
      <c r="B114" t="str">
        <v>Hoses</v>
      </c>
      <c r="C114" t="str">
        <v>Suction_Hose</v>
      </c>
    </row>
    <row r="115">
      <c r="A115" t="str">
        <v>Plumbing</v>
      </c>
      <c r="B115" t="str">
        <v>Hoses</v>
      </c>
      <c r="C115" t="str">
        <v>Braided_Hose</v>
      </c>
    </row>
    <row r="116">
      <c r="A116" t="str">
        <v>Plumbing</v>
      </c>
      <c r="B116" t="str">
        <v>Hoses</v>
      </c>
      <c r="C116" t="str">
        <v>Nylon_Connector</v>
      </c>
    </row>
    <row r="117">
      <c r="A117" t="str">
        <v>Plumbing</v>
      </c>
      <c r="B117" t="str">
        <v>Hoses</v>
      </c>
      <c r="C117" t="str">
        <v>Rubber_Hose</v>
      </c>
    </row>
    <row r="118">
      <c r="A118" t="str">
        <v>Plumbing</v>
      </c>
      <c r="B118" t="str">
        <v>PP_R_Fittings</v>
      </c>
      <c r="C118" t="str">
        <v>Prince</v>
      </c>
    </row>
    <row r="119">
      <c r="A119" t="str">
        <v>Sanitaryware</v>
      </c>
      <c r="B119" t="str">
        <v>Closets</v>
      </c>
      <c r="C119" t="str">
        <v>Single_Piece_Closets</v>
      </c>
    </row>
    <row r="120">
      <c r="A120" t="str">
        <v>Sanitaryware</v>
      </c>
      <c r="B120" t="str">
        <v>Closets</v>
      </c>
      <c r="C120" t="str">
        <v>Wall_Hung_Closets</v>
      </c>
    </row>
    <row r="121">
      <c r="A121" t="str">
        <v>Sanitaryware</v>
      </c>
      <c r="B121" t="str">
        <v>Closets</v>
      </c>
      <c r="C121" t="str">
        <v>Floor_Mounted_Closets</v>
      </c>
    </row>
    <row r="122">
      <c r="A122" t="str">
        <v>Sanitaryware</v>
      </c>
      <c r="B122" t="str">
        <v>Closets</v>
      </c>
      <c r="C122" t="str">
        <v>Indian_Closets</v>
      </c>
    </row>
    <row r="123">
      <c r="A123" t="str">
        <v>Sanitaryware</v>
      </c>
      <c r="B123" t="str">
        <v>Closets</v>
      </c>
      <c r="C123" t="str">
        <v>Standard_Urinals</v>
      </c>
    </row>
    <row r="124">
      <c r="A124" t="str">
        <v>Sanitaryware</v>
      </c>
      <c r="B124" t="str">
        <v>Basins</v>
      </c>
      <c r="C124" t="str">
        <v>Wall_Hung_Basins</v>
      </c>
    </row>
    <row r="125">
      <c r="A125" t="str">
        <v>Sanitaryware</v>
      </c>
      <c r="B125" t="str">
        <v>Basins</v>
      </c>
      <c r="C125" t="str">
        <v>Pedestal_Basins</v>
      </c>
    </row>
    <row r="126">
      <c r="A126" t="str">
        <v>Sanitaryware</v>
      </c>
      <c r="B126" t="str">
        <v>Basins</v>
      </c>
      <c r="C126" t="str">
        <v>Table_Top_Basins</v>
      </c>
    </row>
    <row r="127">
      <c r="A127" t="str">
        <v>Sanitaryware</v>
      </c>
      <c r="B127" t="str">
        <v>Basins</v>
      </c>
      <c r="C127" t="str">
        <v>Bowl_Basins</v>
      </c>
    </row>
    <row r="128">
      <c r="A128" t="str">
        <v>Sanitaryware</v>
      </c>
      <c r="B128" t="str">
        <v>Basins</v>
      </c>
      <c r="C128" t="str">
        <v>Kitchen_Sinks</v>
      </c>
    </row>
    <row r="129">
      <c r="A129" t="str">
        <v>Sanitaryware</v>
      </c>
      <c r="B129" t="str">
        <v>Seat_Covers</v>
      </c>
      <c r="C129" t="str">
        <v>Standard_Seat_Covers</v>
      </c>
    </row>
    <row r="130">
      <c r="A130" t="str">
        <v>Sanitaryware</v>
      </c>
      <c r="B130" t="str">
        <v>Seat_Covers</v>
      </c>
      <c r="C130" t="str">
        <v>Solid_Seat_Covers</v>
      </c>
    </row>
    <row r="131">
      <c r="A131" t="str">
        <v>Sanitaryware</v>
      </c>
      <c r="B131" t="str">
        <v>Faucets</v>
      </c>
      <c r="C131" t="str">
        <v>Bathroom_Faucets</v>
      </c>
    </row>
    <row r="132">
      <c r="A132" t="str">
        <v>Sanitaryware</v>
      </c>
      <c r="B132" t="str">
        <v>Faucets</v>
      </c>
      <c r="C132" t="str">
        <v>Kitchen_Faucets</v>
      </c>
    </row>
    <row r="133">
      <c r="A133" t="str">
        <v>Sanitaryware</v>
      </c>
      <c r="B133" t="str">
        <v>Faucets</v>
      </c>
      <c r="C133" t="str">
        <v>Shower_Faucets</v>
      </c>
    </row>
    <row r="134">
      <c r="A134" t="str">
        <v>Sanitaryware</v>
      </c>
      <c r="B134" t="str">
        <v>Faucets</v>
      </c>
      <c r="C134" t="str">
        <v>Bathtub_Faucets</v>
      </c>
    </row>
    <row r="135">
      <c r="A135" t="str">
        <v>Sanitaryware</v>
      </c>
      <c r="B135" t="str">
        <v>Faucets</v>
      </c>
      <c r="C135" t="str">
        <v>Basin_Faucets</v>
      </c>
    </row>
    <row r="136">
      <c r="A136" t="str">
        <v>Sanitaryware</v>
      </c>
      <c r="B136" t="str">
        <v>Showers</v>
      </c>
      <c r="C136" t="str">
        <v>Shower_Heads</v>
      </c>
    </row>
    <row r="137">
      <c r="A137" t="str">
        <v>Sanitaryware</v>
      </c>
      <c r="B137" t="str">
        <v>Showers</v>
      </c>
      <c r="C137" t="str">
        <v>Shower_Panels</v>
      </c>
    </row>
    <row r="138">
      <c r="A138" t="str">
        <v>Sanitaryware</v>
      </c>
      <c r="B138" t="str">
        <v>Showers</v>
      </c>
      <c r="C138" t="str">
        <v>Shower_Arms</v>
      </c>
    </row>
    <row r="139">
      <c r="A139" t="str">
        <v>Sanitaryware</v>
      </c>
      <c r="B139" t="str">
        <v>Divertors</v>
      </c>
      <c r="C139" t="str">
        <v>High_Flow_Divertors</v>
      </c>
    </row>
    <row r="140">
      <c r="A140" t="str">
        <v>Sanitaryware</v>
      </c>
      <c r="B140" t="str">
        <v>Divertors</v>
      </c>
      <c r="C140" t="str">
        <v>Medium_Flow_Divertors</v>
      </c>
    </row>
    <row r="141">
      <c r="A141" t="str">
        <v>Sanitaryware</v>
      </c>
      <c r="B141" t="str">
        <v>Bath_Tub</v>
      </c>
      <c r="C141" t="str">
        <v>Pupa_Bath_Tub</v>
      </c>
    </row>
    <row r="142">
      <c r="A142" t="str">
        <v>Sanitaryware</v>
      </c>
      <c r="B142" t="str">
        <v>Bath_Tub</v>
      </c>
      <c r="C142" t="str">
        <v>Hindware_Bath_Tub</v>
      </c>
    </row>
    <row r="143">
      <c r="A143" t="str">
        <v>Sanitaryware</v>
      </c>
      <c r="B143" t="str">
        <v>Bath_Tub</v>
      </c>
      <c r="C143" t="str">
        <v>Parryware_Bath_Tub</v>
      </c>
    </row>
    <row r="144">
      <c r="A144" t="str">
        <v>Sanitaryware</v>
      </c>
      <c r="B144" t="str">
        <v>Bath_Tub</v>
      </c>
      <c r="C144" t="str">
        <v>Jaquar_Bath_Tub</v>
      </c>
    </row>
    <row r="145">
      <c r="A145" t="str">
        <v>Sanitaryware</v>
      </c>
      <c r="B145" t="str">
        <v>Bathroom_Accessories</v>
      </c>
      <c r="C145" t="str">
        <v>Towel_Bars_&amp;_Rack</v>
      </c>
    </row>
    <row r="146">
      <c r="A146" t="str">
        <v>Sanitaryware</v>
      </c>
      <c r="B146" t="str">
        <v>Bathroom_Accessories</v>
      </c>
      <c r="C146" t="str">
        <v>Soap_Dishes_&amp;_Dispensers</v>
      </c>
    </row>
    <row r="147">
      <c r="A147" t="str">
        <v>Sanitaryware</v>
      </c>
      <c r="B147" t="str">
        <v>Bathroom_Accessories</v>
      </c>
      <c r="C147" t="str">
        <v>Bathroom_Cabinets</v>
      </c>
    </row>
    <row r="148">
      <c r="A148" t="str">
        <v>Sanitaryware</v>
      </c>
      <c r="B148" t="str">
        <v>Bathroom_Accessories</v>
      </c>
      <c r="C148" t="str">
        <v>Cabinet_&amp;_Mirrors</v>
      </c>
    </row>
    <row r="149">
      <c r="A149" t="str">
        <v>Sanitaryware</v>
      </c>
      <c r="B149" t="str">
        <v>Bathroom_Accessories</v>
      </c>
      <c r="C149" t="str">
        <v>Vanity_Units</v>
      </c>
    </row>
  </sheetData>
  <autoFilter ref="A1:C149"/>
  <pageMargins left="0.7" right="0.7" top="0.75" bottom="0.75" header="0" footer="0"/>
  <ignoredErrors>
    <ignoredError numberStoredAsText="1" sqref="A1:C149"/>
  </ignoredErrors>
</worksheet>
</file>

<file path=xl/worksheets/sheet3.xml><?xml version="1.0" encoding="utf-8"?>
<worksheet xmlns="http://schemas.openxmlformats.org/spreadsheetml/2006/main" xmlns:r="http://schemas.openxmlformats.org/officeDocument/2006/relationships">
  <dimension ref="A1:A27"/>
  <sheetViews>
    <sheetView workbookViewId="0" rightToLeft="0"/>
  </sheetViews>
  <sheetData>
    <row r="1">
      <c r="A1" t="str">
        <v>Brand</v>
      </c>
    </row>
    <row r="2">
      <c r="A2" t="str">
        <v>Inventaa</v>
      </c>
    </row>
    <row r="3">
      <c r="A3" t="str">
        <v>Opple</v>
      </c>
    </row>
    <row r="4">
      <c r="A4" t="str">
        <v>Inventaa</v>
      </c>
    </row>
    <row r="5">
      <c r="A5" t="str">
        <v>Legrand</v>
      </c>
    </row>
    <row r="6">
      <c r="A6" t="str">
        <v>Hi-Fi</v>
      </c>
    </row>
    <row r="7">
      <c r="A7" t="str">
        <v>Arcline</v>
      </c>
    </row>
    <row r="8">
      <c r="A8" t="str">
        <v>Finolex</v>
      </c>
    </row>
    <row r="9">
      <c r="A9" t="str">
        <v>Luminous</v>
      </c>
    </row>
    <row r="10">
      <c r="A10" t="str">
        <v>Supreme</v>
      </c>
    </row>
    <row r="11">
      <c r="A11" t="str">
        <v>Ashirvad</v>
      </c>
    </row>
    <row r="12">
      <c r="A12" t="str">
        <v>Parryware</v>
      </c>
    </row>
    <row r="13">
      <c r="A13" t="str">
        <v>Jaquar &amp; Essco</v>
      </c>
    </row>
    <row r="14">
      <c r="A14" t="str">
        <v>Jass</v>
      </c>
    </row>
    <row r="15">
      <c r="A15" t="str">
        <v>Watertec</v>
      </c>
    </row>
    <row r="16">
      <c r="A16" t="str">
        <v>Pupa</v>
      </c>
    </row>
    <row r="17">
      <c r="A17" t="str">
        <v>Godrej</v>
      </c>
    </row>
    <row r="18">
      <c r="A18" t="str">
        <v>Nova</v>
      </c>
    </row>
    <row r="19">
      <c r="A19" t="str">
        <v>Vinayak</v>
      </c>
    </row>
    <row r="20">
      <c r="A20" t="str">
        <v>Aceline</v>
      </c>
    </row>
    <row r="21">
      <c r="A21" t="str">
        <v>Sleek</v>
      </c>
    </row>
    <row r="22">
      <c r="A22" t="str">
        <v>Hindware</v>
      </c>
    </row>
    <row r="23">
      <c r="A23" t="str">
        <v>Glen</v>
      </c>
    </row>
    <row r="24">
      <c r="A24" t="str">
        <v>Asian</v>
      </c>
    </row>
    <row r="25">
      <c r="A25" t="str">
        <v>Esdee</v>
      </c>
    </row>
    <row r="26">
      <c r="A26" t="str">
        <v>Dr. Fixit</v>
      </c>
    </row>
    <row r="27">
      <c r="A27" t="str">
        <v>Padmashree</v>
      </c>
    </row>
  </sheetData>
  <pageMargins left="0.7" right="0.7" top="0.75" bottom="0.75" header="0" footer="0"/>
  <ignoredErrors>
    <ignoredError numberStoredAsText="1" sqref="A1:A27"/>
  </ignoredErrors>
</worksheet>
</file>

<file path=xl/worksheets/sheet4.xml><?xml version="1.0" encoding="utf-8"?>
<worksheet xmlns="http://schemas.openxmlformats.org/spreadsheetml/2006/main" xmlns:r="http://schemas.openxmlformats.org/officeDocument/2006/relationships">
  <dimension ref="A15:D44"/>
  <sheetViews>
    <sheetView workbookViewId="0" rightToLeft="0"/>
  </sheetViews>
  <sheetData>
    <row r="15">
      <c r="C15" t="str">
        <v>Electrical</v>
      </c>
      <c r="D15" t="str">
        <v>Wiring Devices</v>
      </c>
    </row>
    <row r="16">
      <c r="A16" t="str">
        <v>Electrical</v>
      </c>
      <c r="C16" t="str">
        <v>Wiring Devices</v>
      </c>
      <c r="D16" t="str">
        <v>Switches</v>
      </c>
    </row>
    <row r="17">
      <c r="A17" t="str">
        <v>Hardwares</v>
      </c>
      <c r="C17" t="str">
        <v>Power Distribution</v>
      </c>
      <c r="D17" t="str">
        <v>Outlets</v>
      </c>
    </row>
    <row r="18">
      <c r="A18" t="str">
        <v>Paints</v>
      </c>
      <c r="C18" t="str">
        <v>Wires and Cables</v>
      </c>
      <c r="D18" t="str">
        <v>Dimmers</v>
      </c>
    </row>
    <row r="19">
      <c r="A19" t="str">
        <v>Plumbing</v>
      </c>
      <c r="C19" t="str">
        <v>Lighting Fixtures</v>
      </c>
      <c r="D19" t="str">
        <v>Switch Plates</v>
      </c>
    </row>
    <row r="20">
      <c r="A20" t="str">
        <v>Sanitaryware</v>
      </c>
      <c r="C20" t="str">
        <v>Fans</v>
      </c>
    </row>
    <row r="21">
      <c r="C21" t="str">
        <v>Water Heaters</v>
      </c>
      <c r="D21" t="str">
        <v>Power Distribution</v>
      </c>
    </row>
    <row r="22">
      <c r="C22" t="str">
        <v>General</v>
      </c>
      <c r="D22" t="str">
        <v>Circuit Breakers</v>
      </c>
    </row>
    <row r="23">
      <c r="D23" t="str">
        <v>Distribution Boards</v>
      </c>
    </row>
    <row r="24">
      <c r="C24" t="str">
        <v>Fans</v>
      </c>
      <c r="D24" t="str">
        <v>MCB Boxes</v>
      </c>
    </row>
    <row r="25">
      <c r="C25" t="str">
        <v>Ceiling Fans</v>
      </c>
    </row>
    <row r="26">
      <c r="C26" t="str">
        <v>Pedestal Fans</v>
      </c>
      <c r="D26" t="str">
        <v>Wires and Cables</v>
      </c>
    </row>
    <row r="27">
      <c r="C27" t="str">
        <v>Table Fans</v>
      </c>
      <c r="D27" t="str">
        <v>Concealed Wires</v>
      </c>
    </row>
    <row r="28">
      <c r="C28" t="str">
        <v>Wall Fans</v>
      </c>
      <c r="D28" t="str">
        <v>Multicore Wires</v>
      </c>
    </row>
    <row r="29">
      <c r="C29" t="str">
        <v>Exhaust Fans</v>
      </c>
      <c r="D29" t="str">
        <v>Submersible Wires</v>
      </c>
    </row>
    <row r="30">
      <c r="D30" t="str">
        <v>Service Wires</v>
      </c>
    </row>
    <row r="31">
      <c r="C31" t="str">
        <v>Water Heaters</v>
      </c>
    </row>
    <row r="32">
      <c r="C32" t="str">
        <v>Instant Water Heaters</v>
      </c>
      <c r="D32" t="str">
        <v>Lighting Fixtures</v>
      </c>
    </row>
    <row r="33">
      <c r="C33" t="str">
        <v>Storage Water Heaters</v>
      </c>
      <c r="D33" t="str">
        <v>LED Bulbs &amp; Tubes</v>
      </c>
    </row>
    <row r="34">
      <c r="C34" t="str">
        <v>Immersion Water Heaters</v>
      </c>
      <c r="D34" t="str">
        <v>Concealed Lights</v>
      </c>
    </row>
    <row r="35">
      <c r="D35" t="str">
        <v>Surface Lights</v>
      </c>
    </row>
    <row r="36">
      <c r="C36" t="str">
        <v>General</v>
      </c>
      <c r="D36" t="str">
        <v>Decorative Lights</v>
      </c>
    </row>
    <row r="37">
      <c r="C37" t="str">
        <v>Smart Switches</v>
      </c>
      <c r="D37" t="str">
        <v>Street Lights</v>
      </c>
    </row>
    <row r="38">
      <c r="C38" t="str">
        <v>Conduit Pipes</v>
      </c>
      <c r="D38" t="str">
        <v>Flood Lights</v>
      </c>
    </row>
    <row r="39">
      <c r="C39" t="str">
        <v>Conduit Fittings</v>
      </c>
      <c r="D39" t="str">
        <v>Bulk Head</v>
      </c>
    </row>
    <row r="40">
      <c r="C40" t="str">
        <v>Enclosures</v>
      </c>
      <c r="D40" t="str">
        <v>Outdoor Wall Lights</v>
      </c>
    </row>
    <row r="41">
      <c r="C41" t="str">
        <v>Capacitors &amp; Starters</v>
      </c>
      <c r="D41" t="str">
        <v>Junction Box LED</v>
      </c>
    </row>
    <row r="42">
      <c r="C42" t="str">
        <v>Stabilizers</v>
      </c>
      <c r="D42" t="str">
        <v>Down Light Panel</v>
      </c>
    </row>
    <row r="43">
      <c r="C43" t="str">
        <v>Iron Box</v>
      </c>
      <c r="D43" t="str">
        <v>Solar Lights</v>
      </c>
    </row>
    <row r="44">
      <c r="D44" t="str">
        <v>Gate Lights</v>
      </c>
    </row>
  </sheetData>
  <pageMargins left="0.7" right="0.7" top="0.75" bottom="0.75" header="0.3" footer="0.3"/>
  <ignoredErrors>
    <ignoredError numberStoredAsText="1" sqref="A15:D44"/>
  </ignoredErrors>
</worksheet>
</file>

<file path=xl/worksheets/sheet5.xml><?xml version="1.0" encoding="utf-8"?>
<worksheet xmlns="http://schemas.openxmlformats.org/spreadsheetml/2006/main" xmlns:r="http://schemas.openxmlformats.org/officeDocument/2006/relationships">
  <dimension ref="A1:H999"/>
  <sheetViews>
    <sheetView workbookViewId="0" rightToLeft="0"/>
  </sheetViews>
  <sheetData>
    <row r="1">
      <c r="A1" t="str">
        <f t="array" ref="A1:A999">Sheet1!B2:B999</f>
        <v>Electrical</v>
      </c>
      <c r="B1" t="str">
        <f>IFERROR(__xludf.DUMMYFUNCTION("BYROW(A1:A1000,LAMBDA(x, TRANSPOSE( UNIQUE( FILTER(Lookups!B2:B1000,Lookups!A2:A1000=x)))))"),"Wiring_Devices")</f>
        <v>Wiring_Devices</v>
      </c>
      <c r="C1" t="str">
        <f>IFERROR(__xludf.DUMMYFUNCTION("""COMPUTED_VALUE"""),"Power_Distribution")</f>
        <v>Power_Distribution</v>
      </c>
      <c r="D1" t="str">
        <f>IFERROR(__xludf.DUMMYFUNCTION("""COMPUTED_VALUE"""),"Wires_and_Cables")</f>
        <v>Wires_and_Cables</v>
      </c>
      <c r="E1" t="str">
        <f>IFERROR(__xludf.DUMMYFUNCTION("""COMPUTED_VALUE"""),"Lighting_Fixtures")</f>
        <v>Lighting_Fixtures</v>
      </c>
      <c r="F1" t="str">
        <f>IFERROR(__xludf.DUMMYFUNCTION("""COMPUTED_VALUE"""),"Fans")</f>
        <v>Fans</v>
      </c>
      <c r="G1" t="str">
        <f>IFERROR(__xludf.DUMMYFUNCTION("""COMPUTED_VALUE"""),"Water_Heaters")</f>
        <v>Water_Heaters</v>
      </c>
      <c r="H1" t="str">
        <f>IFERROR(__xludf.DUMMYFUNCTION("""COMPUTED_VALUE"""),"General")</f>
        <v>General</v>
      </c>
    </row>
    <row r="2">
      <c r="A2" t="str">
        <v>Electrical</v>
      </c>
      <c r="B2" t="str">
        <f>IFERROR(__xludf.DUMMYFUNCTION("""COMPUTED_VALUE"""),"Wiring_Devices")</f>
        <v>Wiring_Devices</v>
      </c>
      <c r="C2" t="str">
        <f>IFERROR(__xludf.DUMMYFUNCTION("""COMPUTED_VALUE"""),"Power_Distribution")</f>
        <v>Power_Distribution</v>
      </c>
      <c r="D2" t="str">
        <f>IFERROR(__xludf.DUMMYFUNCTION("""COMPUTED_VALUE"""),"Wires_and_Cables")</f>
        <v>Wires_and_Cables</v>
      </c>
      <c r="E2" t="str">
        <f>IFERROR(__xludf.DUMMYFUNCTION("""COMPUTED_VALUE"""),"Lighting_Fixtures")</f>
        <v>Lighting_Fixtures</v>
      </c>
      <c r="F2" t="str">
        <f>IFERROR(__xludf.DUMMYFUNCTION("""COMPUTED_VALUE"""),"Fans")</f>
        <v>Fans</v>
      </c>
      <c r="G2" t="str">
        <f>IFERROR(__xludf.DUMMYFUNCTION("""COMPUTED_VALUE"""),"Water_Heaters")</f>
        <v>Water_Heaters</v>
      </c>
      <c r="H2" t="str">
        <f>IFERROR(__xludf.DUMMYFUNCTION("""COMPUTED_VALUE"""),"General")</f>
        <v>General</v>
      </c>
    </row>
    <row r="3">
      <c r="A3" t="str">
        <v>Electrical</v>
      </c>
      <c r="B3" t="str">
        <f>IFERROR(__xludf.DUMMYFUNCTION("""COMPUTED_VALUE"""),"Wiring_Devices")</f>
        <v>Wiring_Devices</v>
      </c>
      <c r="C3" t="str">
        <f>IFERROR(__xludf.DUMMYFUNCTION("""COMPUTED_VALUE"""),"Power_Distribution")</f>
        <v>Power_Distribution</v>
      </c>
      <c r="D3" t="str">
        <f>IFERROR(__xludf.DUMMYFUNCTION("""COMPUTED_VALUE"""),"Wires_and_Cables")</f>
        <v>Wires_and_Cables</v>
      </c>
      <c r="E3" t="str">
        <f>IFERROR(__xludf.DUMMYFUNCTION("""COMPUTED_VALUE"""),"Lighting_Fixtures")</f>
        <v>Lighting_Fixtures</v>
      </c>
      <c r="F3" t="str">
        <f>IFERROR(__xludf.DUMMYFUNCTION("""COMPUTED_VALUE"""),"Fans")</f>
        <v>Fans</v>
      </c>
      <c r="G3" t="str">
        <f>IFERROR(__xludf.DUMMYFUNCTION("""COMPUTED_VALUE"""),"Water_Heaters")</f>
        <v>Water_Heaters</v>
      </c>
      <c r="H3" t="str">
        <f>IFERROR(__xludf.DUMMYFUNCTION("""COMPUTED_VALUE"""),"General")</f>
        <v>General</v>
      </c>
    </row>
    <row r="4">
      <c r="A4" t="str">
        <v>Sanitary_Ware</v>
      </c>
    </row>
    <row r="5">
      <c r="A5" t="str">
        <v>Electrical</v>
      </c>
    </row>
    <row r="6">
      <c r="A6" t="str">
        <v>Electrical</v>
      </c>
    </row>
    <row r="7">
      <c r="A7" t="str">
        <v>Electrical</v>
      </c>
    </row>
    <row r="8">
      <c r="A8" t="str">
        <v>Electrical</v>
      </c>
    </row>
    <row r="9">
      <c r="A9" t="str">
        <v>Electrical</v>
      </c>
    </row>
    <row r="10">
      <c r="A10" t="str">
        <v>Electrical</v>
      </c>
    </row>
    <row r="11">
      <c r="A11" t="str">
        <v>Electrical</v>
      </c>
    </row>
    <row r="12">
      <c r="A12" t="str">
        <v>Electrical</v>
      </c>
    </row>
    <row r="13">
      <c r="A13" t="str">
        <v>Electrical</v>
      </c>
    </row>
    <row r="14">
      <c r="A14" t="str">
        <v>Electrical</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H999"/>
  </ignoredErrors>
</worksheet>
</file>

<file path=xl/worksheets/sheet6.xml><?xml version="1.0" encoding="utf-8"?>
<worksheet xmlns="http://schemas.openxmlformats.org/spreadsheetml/2006/main" xmlns:r="http://schemas.openxmlformats.org/officeDocument/2006/relationships">
  <dimension ref="A1:M999"/>
  <sheetViews>
    <sheetView workbookViewId="0" rightToLeft="0"/>
  </sheetViews>
  <sheetData>
    <row r="1">
      <c r="A1" t="str">
        <f t="array" ref="A1:A999">Sheet1!C2:C999</f>
        <v>Lighting_Fixtures</v>
      </c>
      <c r="B1" t="str">
        <f>IFERROR(__xludf.DUMMYFUNCTION("BYROW(A1:A1000,LAMBDA(x, TRANSPOSE( UNIQUE( FILTER(Lookups!C2:C1000,Lookups!B2:B1000=x)))))"),"LED_Bulbs_&amp;_Tubes")</f>
        <v>LED_Bulbs_&amp;_Tubes</v>
      </c>
      <c r="C1" t="str">
        <f>IFERROR(__xludf.DUMMYFUNCTION("""COMPUTED_VALUE"""),"Concealed_Lights")</f>
        <v>Concealed_Lights</v>
      </c>
      <c r="D1" t="str">
        <f>IFERROR(__xludf.DUMMYFUNCTION("""COMPUTED_VALUE"""),"Surface_Lights")</f>
        <v>Surface_Lights</v>
      </c>
      <c r="E1" t="str">
        <f>IFERROR(__xludf.DUMMYFUNCTION("""COMPUTED_VALUE"""),"Decorative_Lights")</f>
        <v>Decorative_Lights</v>
      </c>
      <c r="F1" t="str">
        <f>IFERROR(__xludf.DUMMYFUNCTION("""COMPUTED_VALUE"""),"Street_Lights")</f>
        <v>Street_Lights</v>
      </c>
      <c r="G1" t="str">
        <f>IFERROR(__xludf.DUMMYFUNCTION("""COMPUTED_VALUE"""),"Flood_Lights")</f>
        <v>Flood_Lights</v>
      </c>
      <c r="H1" t="str">
        <f>IFERROR(__xludf.DUMMYFUNCTION("""COMPUTED_VALUE"""),"Bulk_Head")</f>
        <v>Bulk_Head</v>
      </c>
      <c r="I1" t="str">
        <f>IFERROR(__xludf.DUMMYFUNCTION("""COMPUTED_VALUE"""),"Outdoor_Wall_Lights")</f>
        <v>Outdoor_Wall_Lights</v>
      </c>
      <c r="J1" t="str">
        <f>IFERROR(__xludf.DUMMYFUNCTION("""COMPUTED_VALUE"""),"Junction_Box_LED")</f>
        <v>Junction_Box_LED</v>
      </c>
      <c r="K1" t="str">
        <f>IFERROR(__xludf.DUMMYFUNCTION("""COMPUTED_VALUE"""),"Down_Light_Panel")</f>
        <v>Down_Light_Panel</v>
      </c>
      <c r="L1" t="str">
        <f>IFERROR(__xludf.DUMMYFUNCTION("""COMPUTED_VALUE"""),"Solar_Lights")</f>
        <v>Solar_Lights</v>
      </c>
      <c r="M1" t="str">
        <f>IFERROR(__xludf.DUMMYFUNCTION("""COMPUTED_VALUE"""),"Gate_Lights")</f>
        <v>Gate_Lights</v>
      </c>
    </row>
    <row r="2">
      <c r="A2" t="str">
        <v>Lighting_Fixtures</v>
      </c>
      <c r="B2" t="str">
        <f>IFERROR(__xludf.DUMMYFUNCTION("""COMPUTED_VALUE"""),"LED_Bulbs_&amp;_Tubes")</f>
        <v>LED_Bulbs_&amp;_Tubes</v>
      </c>
      <c r="C2" t="str">
        <f>IFERROR(__xludf.DUMMYFUNCTION("""COMPUTED_VALUE"""),"Concealed_Lights")</f>
        <v>Concealed_Lights</v>
      </c>
      <c r="D2" t="str">
        <f>IFERROR(__xludf.DUMMYFUNCTION("""COMPUTED_VALUE"""),"Surface_Lights")</f>
        <v>Surface_Lights</v>
      </c>
      <c r="E2" t="str">
        <f>IFERROR(__xludf.DUMMYFUNCTION("""COMPUTED_VALUE"""),"Decorative_Lights")</f>
        <v>Decorative_Lights</v>
      </c>
      <c r="F2" t="str">
        <f>IFERROR(__xludf.DUMMYFUNCTION("""COMPUTED_VALUE"""),"Street_Lights")</f>
        <v>Street_Lights</v>
      </c>
      <c r="G2" t="str">
        <f>IFERROR(__xludf.DUMMYFUNCTION("""COMPUTED_VALUE"""),"Flood_Lights")</f>
        <v>Flood_Lights</v>
      </c>
      <c r="H2" t="str">
        <f>IFERROR(__xludf.DUMMYFUNCTION("""COMPUTED_VALUE"""),"Bulk_Head")</f>
        <v>Bulk_Head</v>
      </c>
      <c r="I2" t="str">
        <f>IFERROR(__xludf.DUMMYFUNCTION("""COMPUTED_VALUE"""),"Outdoor_Wall_Lights")</f>
        <v>Outdoor_Wall_Lights</v>
      </c>
      <c r="J2" t="str">
        <f>IFERROR(__xludf.DUMMYFUNCTION("""COMPUTED_VALUE"""),"Junction_Box_LED")</f>
        <v>Junction_Box_LED</v>
      </c>
      <c r="K2" t="str">
        <f>IFERROR(__xludf.DUMMYFUNCTION("""COMPUTED_VALUE"""),"Down_Light_Panel")</f>
        <v>Down_Light_Panel</v>
      </c>
      <c r="L2" t="str">
        <f>IFERROR(__xludf.DUMMYFUNCTION("""COMPUTED_VALUE"""),"Solar_Lights")</f>
        <v>Solar_Lights</v>
      </c>
      <c r="M2" t="str">
        <f>IFERROR(__xludf.DUMMYFUNCTION("""COMPUTED_VALUE"""),"Gate_Lights")</f>
        <v>Gate_Lights</v>
      </c>
    </row>
    <row r="3">
      <c r="A3" t="str">
        <v>Lighting_Fixtures</v>
      </c>
      <c r="B3" t="str">
        <f>IFERROR(__xludf.DUMMYFUNCTION("""COMPUTED_VALUE"""),"LED_Bulbs_&amp;_Tubes")</f>
        <v>LED_Bulbs_&amp;_Tubes</v>
      </c>
      <c r="C3" t="str">
        <f>IFERROR(__xludf.DUMMYFUNCTION("""COMPUTED_VALUE"""),"Concealed_Lights")</f>
        <v>Concealed_Lights</v>
      </c>
      <c r="D3" t="str">
        <f>IFERROR(__xludf.DUMMYFUNCTION("""COMPUTED_VALUE"""),"Surface_Lights")</f>
        <v>Surface_Lights</v>
      </c>
      <c r="E3" t="str">
        <f>IFERROR(__xludf.DUMMYFUNCTION("""COMPUTED_VALUE"""),"Decorative_Lights")</f>
        <v>Decorative_Lights</v>
      </c>
      <c r="F3" t="str">
        <f>IFERROR(__xludf.DUMMYFUNCTION("""COMPUTED_VALUE"""),"Street_Lights")</f>
        <v>Street_Lights</v>
      </c>
      <c r="G3" t="str">
        <f>IFERROR(__xludf.DUMMYFUNCTION("""COMPUTED_VALUE"""),"Flood_Lights")</f>
        <v>Flood_Lights</v>
      </c>
      <c r="H3" t="str">
        <f>IFERROR(__xludf.DUMMYFUNCTION("""COMPUTED_VALUE"""),"Bulk_Head")</f>
        <v>Bulk_Head</v>
      </c>
      <c r="I3" t="str">
        <f>IFERROR(__xludf.DUMMYFUNCTION("""COMPUTED_VALUE"""),"Outdoor_Wall_Lights")</f>
        <v>Outdoor_Wall_Lights</v>
      </c>
      <c r="J3" t="str">
        <f>IFERROR(__xludf.DUMMYFUNCTION("""COMPUTED_VALUE"""),"Junction_Box_LED")</f>
        <v>Junction_Box_LED</v>
      </c>
      <c r="K3" t="str">
        <f>IFERROR(__xludf.DUMMYFUNCTION("""COMPUTED_VALUE"""),"Down_Light_Panel")</f>
        <v>Down_Light_Panel</v>
      </c>
      <c r="L3" t="str">
        <f>IFERROR(__xludf.DUMMYFUNCTION("""COMPUTED_VALUE"""),"Solar_Lights")</f>
        <v>Solar_Lights</v>
      </c>
      <c r="M3" t="str">
        <f>IFERROR(__xludf.DUMMYFUNCTION("""COMPUTED_VALUE"""),"Gate_Lights")</f>
        <v>Gate_Lights</v>
      </c>
    </row>
    <row r="4">
      <c r="A4" t="str">
        <v>Closets</v>
      </c>
    </row>
    <row r="5">
      <c r="A5" t="str">
        <v>Wiring_Devices</v>
      </c>
    </row>
    <row r="6">
      <c r="A6" t="str">
        <v>Wiring_Devices</v>
      </c>
    </row>
    <row r="7">
      <c r="A7" t="str">
        <v>Wiring_Devices</v>
      </c>
    </row>
    <row r="8">
      <c r="A8" t="str">
        <v>Wiring_Devices</v>
      </c>
    </row>
    <row r="9">
      <c r="A9" t="str">
        <v>Wiring_Devices</v>
      </c>
    </row>
    <row r="10">
      <c r="A10" t="str">
        <v>Wiring_Devices</v>
      </c>
    </row>
    <row r="11">
      <c r="A11" t="str">
        <v>Wiring_Devices</v>
      </c>
    </row>
    <row r="12">
      <c r="A12" t="str">
        <v>Wiring_Devices</v>
      </c>
    </row>
    <row r="13">
      <c r="A13" t="str">
        <v>Wiring_Devices</v>
      </c>
    </row>
    <row r="14">
      <c r="A14" t="str">
        <v>Wiring_Devices</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M999"/>
  </ignoredErrors>
</worksheet>
</file>

<file path=docProps/app.xml><?xml version="1.0" encoding="utf-8"?>
<Properties xmlns="http://schemas.openxmlformats.org/officeDocument/2006/extended-properties" xmlns:vt="http://schemas.openxmlformats.org/officeDocument/2006/docPropsVTypes">
  <Application>SheetJS</Application>
  <AppVersion>12.0000</AppVersion>
  <DocSecurity>0</DocSecurity>
  <HyperlinksChanged>false</HyperlinksChanged>
  <SharedDoc>false</SharedDoc>
  <LinksUpToDate>false</LinksUpToDate>
  <ScaleCrop>false</ScaleCrop>
  <HeadingPairs>
    <vt:vector size="2" baseType="variant">
      <vt:variant>
        <vt:lpstr>Worksheets</vt:lpstr>
      </vt:variant>
      <vt:variant>
        <vt:i4>6</vt:i4>
      </vt:variant>
    </vt:vector>
  </HeadingPairs>
  <TitlesOfParts>
    <vt:vector size="6" baseType="lpstr">
      <vt:lpstr>Sheet1</vt:lpstr>
      <vt:lpstr>Lookups</vt:lpstr>
      <vt:lpstr>Brands</vt:lpstr>
      <vt:lpstr>Dropdowns</vt:lpstr>
      <vt:lpstr>2nd level</vt:lpstr>
      <vt:lpstr>3rd level</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modified xsi:type="dcterms:W3CDTF">2026-04-29T04:40:11Z</dcterms:modified>
  <cp:lastModifiedBy>Kevin</cp:lastModifiedBy>
</cp:coreProperties>
</file>